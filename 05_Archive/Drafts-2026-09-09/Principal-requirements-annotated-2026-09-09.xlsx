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Admin\Desktop\Daily check\"/>
    </mc:Choice>
  </mc:AlternateContent>
  <xr:revisionPtr revIDLastSave="0" documentId="13_ncr:1_{AF51FF92-A14C-4045-B357-354F5EE3A4A9}" xr6:coauthVersionLast="47" xr6:coauthVersionMax="47" xr10:uidLastSave="{00000000-0000-0000-0000-000000000000}"/>
  <bookViews>
    <workbookView xWindow="-120" yWindow="-120" windowWidth="29040" windowHeight="15720" xr2:uid="{00000000-000D-0000-FFFF-FFFF00000000}"/>
  </bookViews>
  <sheets>
    <sheet name="ՊԱՀԱՆՋՆԵՐ" sheetId="1" r:id="rId1"/>
    <sheet name="4 ՊԱՀԱՆՋԸ" sheetId="2" r:id="rId2"/>
    <sheet name="ԱՄՓՈՓ" sheetId="3" r:id="rId3"/>
  </sheets>
  <definedNames>
    <definedName name="_xlnm._FilterDatabase" localSheetId="0" hidden="1">ՊԱՀԱՆՋՆԵՐ!$B$5:$F$20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9" i="3" l="1"/>
  <c r="C9" i="3"/>
  <c r="D8" i="3"/>
  <c r="C8" i="3"/>
  <c r="D7" i="3"/>
  <c r="C7" i="3"/>
  <c r="D6" i="3"/>
  <c r="C6" i="3"/>
  <c r="D5" i="3"/>
  <c r="C5" i="3"/>
</calcChain>
</file>

<file path=xl/sharedStrings.xml><?xml version="1.0" encoding="utf-8"?>
<sst xmlns="http://schemas.openxmlformats.org/spreadsheetml/2006/main" count="80" uniqueCount="58">
  <si>
    <t>ԳԱԴՈՒԿՅԱՆԻ ՊԱՀԱՆՋՆԵՐԸ</t>
  </si>
  <si>
    <t>№</t>
  </si>
  <si>
    <t>Ինչ է ուզում</t>
  </si>
  <si>
    <t>Իմ գնահատականը</t>
  </si>
  <si>
    <t>✏ ԿԱՐԳԱՎԻՃԱԿ</t>
  </si>
  <si>
    <t>✏ ՔՈ ՄԵԿՆԱԲԱՆՈՒԹՅՈՒՆԸ</t>
  </si>
  <si>
    <t>✏ ԺԱՄԿԵՏ</t>
  </si>
  <si>
    <t>Արված</t>
  </si>
  <si>
    <t>Ընթացքում</t>
  </si>
  <si>
    <t>Վաճառքի ռազմավարություն՝ բոլոր ուղղություններով, հինգշաբթի</t>
  </si>
  <si>
    <t>Վերջնական հայեցակարգ՝ ամսի 15-ին</t>
  </si>
  <si>
    <t>Չսկսված</t>
  </si>
  <si>
    <t>Բիլինգի roadmap-ը ակտուա՞լ է. եթե ոչ՝ տալ սեփականը</t>
  </si>
  <si>
    <t>Միկրոբիլի ֆլոուից՝ կոնկրետ գործողությունների ցանկ, որ աշխատի</t>
  </si>
  <si>
    <t>4 ամսում ամսական 2% իջնելու հարցը — ԿՐԻՏԻԿԱԿԱՆԸ</t>
  </si>
  <si>
    <t>Պարզ չէ</t>
  </si>
  <si>
    <t>pros/cons՝ պահո՞ւմ ենք քո համակարգը</t>
  </si>
  <si>
    <t>Իրավաբանական անձանց ՀՎՀՀ-ները ուղղել բիլինգում</t>
  </si>
  <si>
    <t>Մագայի գործառույթների մանրամասն նկարագիրը</t>
  </si>
  <si>
    <t>Պարզել՝ ինչու տեսուչները ծրագրով չեն օգտվում</t>
  </si>
  <si>
    <t>Retention flow-ը՝ Ռիչի վրա, և արտացոլել փաստաթղթում</t>
  </si>
  <si>
    <t>Retention-ի հետևման համակարգ</t>
  </si>
  <si>
    <t>Չըռնի ռիսկի սիգնալները վերանայել</t>
  </si>
  <si>
    <t>save-list-ը մշակել Անահիտի և Մագայի հետ</t>
  </si>
  <si>
    <t>ՀԱՆԴԻՊՄԱՆ 4 ՊԱՀԱՆՋԸ</t>
  </si>
  <si>
    <t>«մեր հանդիպման ժամանակ 4 բան էի ուզել, որից մեկը բիզնեսի համար կրիտիկական էր … ստացել եմ մենակ staff-ի կտորը, 11 օրվա մեջ»</t>
  </si>
  <si>
    <t>Ինչ</t>
  </si>
  <si>
    <t>Ծանոթագրություն</t>
  </si>
  <si>
    <t>Հաստիքացուցակ</t>
  </si>
  <si>
    <t>Տրված է 09-07-ին</t>
  </si>
  <si>
    <t>4 ամսում ամսական 2% իջնելը</t>
  </si>
  <si>
    <t>ԿՐԻՏԻԿԱԿԱՆԸ՝ ըստ իր խոսքի</t>
  </si>
  <si>
    <t>Կորպի ամսական ռեփորթ</t>
  </si>
  <si>
    <t>Քանի կորպ հաճախորդ ենք տեսել, խոսել, օֆեր արել</t>
  </si>
  <si>
    <t>Բիլինգի քոզերի հարցը</t>
  </si>
  <si>
    <t>8 կարգավիճակը ուղարկված է, հաստատում չկա</t>
  </si>
  <si>
    <t>ԱՄՓՈՓ</t>
  </si>
  <si>
    <t>Կարգավիճակ</t>
  </si>
  <si>
    <t>Քո լրացրածը</t>
  </si>
  <si>
    <t>ԸՆԴԱՄԵՆԸ</t>
  </si>
  <si>
    <t>«Քո լրացրածը» սյունակը ինքնաշխատ հաշվում է, երբ ՊԱՀԱՆՋՆԵՐ թերթում կարգավիճակ ես դնում։</t>
  </si>
  <si>
    <t xml:space="preserve">Կարճաժամկտ ռազմավարությունը վաճառքի մասով կա վաղը նայենք </t>
  </si>
  <si>
    <t>AI՝ որտեղ ինչ ես տեսնում</t>
  </si>
  <si>
    <t>Բոլոր բաժինների մասով լիքը բան կարանք դնենք AI ճ վրա, պետքա որոշենք ովա հետևելու դրան։</t>
  </si>
  <si>
    <t>Իմ քոմենթները արել եմ բիլինգի մասով, մնացածը ակտուլա, ու կապ չունի որ ուշացել ենք, եթե կպնենք կգանք դեդլայներին։</t>
  </si>
  <si>
    <t>Ստեղ կարևորա որ բիլինգը ճիշտ սետափ արած լինի, ու դաշտերը ճիշտ լրացվեն, դրանից հետո մի հատ էքսելա պետքա մնացածը ֆիտրելու ու ճիշտ ռեփորթ սարքելու հարցա, դա էլ կարանք ավտոմատացնենք</t>
  </si>
  <si>
    <t>Հենց հիմա բերել եմ կողքսա, բացատրում եմ ինչա , կամ ես չեմ կարում բացատրեմ կամ ինքը չի հասկանում, ասել եմ քո հետ շբվի հասկանա, վաղը հստակ պատասխանով գա</t>
  </si>
  <si>
    <t>Հա, պահում ենք, ես հենց հիմա զուգահեռ քլինափ եմ անում դա, որ վերջնական տեսքի բերեմ</t>
  </si>
  <si>
    <t>Թասքը դրել եմ, հետևել եմ, ասելա էսօր մինչև 7 արած կլինի։ Առավոտ կստուգեմ եթե ինչ</t>
  </si>
  <si>
    <t xml:space="preserve">Ավելի մանր ոնց ուզես ել էսօր կտա </t>
  </si>
  <si>
    <t>Տեսուչներից մեկը անւոմ, մյուսը սխալներովա անում, ըստ Մագայի հարցը էնա որ ծախսում են, հետո դնում տեղը։ Ասել եմ որ վաղվանից մենակ ծրագրով,բայց Մաան ասեց որ իրար հետ էլ եք խոսել ու 1-ից 1ը դնելու հարց կա բիլինգը։ Սա քո դաշտումա, դու ասա</t>
  </si>
  <si>
    <t xml:space="preserve">Դեռ բան չեմ արել, կմտածենք մի հատ պարզ ձև որ հեշտ լինի համ անելը համ հետևելը </t>
  </si>
  <si>
    <t xml:space="preserve">Վաղը Թիմը կտա, կուղարկեմ </t>
  </si>
  <si>
    <t>Երկուշաբթի ստարտը կտանք</t>
  </si>
  <si>
    <t>Դեռ ինֆո չունեմ սրա մասով, աղջիկներին գրել եմ որ ինֆո տան</t>
  </si>
  <si>
    <t>Ամսի 15 -ին կտամ</t>
  </si>
  <si>
    <t>WhatsApp, 09-05 – 09-09  ·  15 բաց կետ  ·  դեղին սյունակները քոնն են՝ լրացրու  ·  «Իր բառերով»-ը բնօրինակն է, չի փոխվում</t>
  </si>
  <si>
    <t>✏ ՄԵԿՆԱԲԱՆՈՒԹՅՈՒՆԸ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</si>
</sst>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b/>
      <sz val="17"/>
      <color rgb="FF1F3864"/>
      <name val="Calibri"/>
    </font>
    <font>
      <sz val="9"/>
      <color rgb="FF8B9099"/>
      <name val="Calibri"/>
    </font>
    <font>
      <b/>
      <sz val="9.5"/>
      <color rgb="FFFFFFFF"/>
      <name val="Calibri"/>
    </font>
    <font>
      <b/>
      <sz val="9.5"/>
      <color rgb="FF24292F"/>
      <name val="Calibri"/>
    </font>
    <font>
      <sz val="9.5"/>
      <color rgb="FF24292F"/>
      <name val="Calibri"/>
    </font>
    <font>
      <i/>
      <sz val="9"/>
      <color rgb="FF8B9099"/>
      <name val="Calibri"/>
    </font>
    <font>
      <b/>
      <sz val="10"/>
      <color rgb="FF24292F"/>
      <name val="Calibri"/>
    </font>
    <font>
      <sz val="10"/>
      <color rgb="FF2F6B36"/>
      <name val="Calibri"/>
    </font>
    <font>
      <sz val="10"/>
      <color rgb="FF24292F"/>
      <name val="Calibri"/>
    </font>
    <font>
      <sz val="10"/>
      <color rgb="FFB42318"/>
      <name val="Calibri"/>
    </font>
    <font>
      <sz val="10"/>
      <color rgb="FF9A6A00"/>
      <name val="Calibri"/>
    </font>
    <font>
      <b/>
      <sz val="10"/>
      <color rgb="FF2F6B36"/>
      <name val="Calibri"/>
    </font>
    <font>
      <b/>
      <sz val="11"/>
      <color rgb="FF2F6B36"/>
      <name val="Calibri"/>
    </font>
    <font>
      <b/>
      <sz val="10"/>
      <color rgb="FF9A6A00"/>
      <name val="Calibri"/>
    </font>
    <font>
      <b/>
      <sz val="11"/>
      <color rgb="FF9A6A00"/>
      <name val="Calibri"/>
    </font>
    <font>
      <b/>
      <sz val="10"/>
      <color rgb="FFB42318"/>
      <name val="Calibri"/>
    </font>
    <font>
      <b/>
      <sz val="11"/>
      <color rgb="FFB42318"/>
      <name val="Calibri"/>
    </font>
    <font>
      <b/>
      <sz val="10"/>
      <color rgb="FF8B9099"/>
      <name val="Calibri"/>
    </font>
    <font>
      <b/>
      <sz val="11"/>
      <color rgb="FF8B9099"/>
      <name val="Calibri"/>
    </font>
    <font>
      <b/>
      <sz val="11"/>
      <color rgb="FF1F3864"/>
      <name val="Calibri"/>
    </font>
  </fonts>
  <fills count="5">
    <fill>
      <patternFill patternType="none"/>
    </fill>
    <fill>
      <patternFill patternType="gray125"/>
    </fill>
    <fill>
      <patternFill patternType="solid">
        <fgColor rgb="FF1F3864"/>
      </patternFill>
    </fill>
    <fill>
      <patternFill patternType="solid">
        <fgColor rgb="FF9A6A00"/>
      </patternFill>
    </fill>
    <fill>
      <patternFill patternType="solid">
        <fgColor rgb="FFFFFDF0"/>
      </patternFill>
    </fill>
  </fills>
  <borders count="3">
    <border>
      <left/>
      <right/>
      <top/>
      <bottom/>
      <diagonal/>
    </border>
    <border>
      <left style="thin">
        <color rgb="FFE1E5EA"/>
      </left>
      <right style="thin">
        <color rgb="FFE1E5EA"/>
      </right>
      <top/>
      <bottom style="thin">
        <color rgb="FFE1E5EA"/>
      </bottom>
      <diagonal/>
    </border>
    <border>
      <left/>
      <right/>
      <top/>
      <bottom style="thin">
        <color rgb="FFE1E5EA"/>
      </bottom>
      <diagonal/>
    </border>
  </borders>
  <cellStyleXfs count="1">
    <xf numFmtId="0" fontId="0" fillId="0" borderId="0"/>
  </cellStyleXfs>
  <cellXfs count="32">
    <xf numFmtId="0" fontId="0" fillId="0" borderId="0" xfId="0"/>
    <xf numFmtId="0" fontId="0" fillId="2" borderId="0" xfId="0" applyFill="1"/>
    <xf numFmtId="0" fontId="3" fillId="2" borderId="0" xfId="0" applyFont="1" applyFill="1" applyAlignment="1">
      <alignment horizontal="center" vertical="center" wrapText="1"/>
    </xf>
    <xf numFmtId="0" fontId="3" fillId="3" borderId="0" xfId="0" applyFont="1" applyFill="1" applyAlignment="1">
      <alignment horizontal="center" vertical="center" wrapText="1"/>
    </xf>
    <xf numFmtId="0" fontId="4" fillId="0" borderId="1" xfId="0" applyFont="1" applyBorder="1" applyAlignment="1">
      <alignment horizontal="center" vertical="top"/>
    </xf>
    <xf numFmtId="0" fontId="5" fillId="0" borderId="1" xfId="0" applyFont="1" applyBorder="1" applyAlignment="1">
      <alignment horizontal="left" vertical="top" wrapText="1"/>
    </xf>
    <xf numFmtId="0" fontId="5" fillId="4" borderId="1" xfId="0" applyFont="1" applyFill="1" applyBorder="1" applyAlignment="1">
      <alignment horizontal="left" vertical="top" wrapText="1"/>
    </xf>
    <xf numFmtId="0" fontId="3" fillId="2" borderId="0" xfId="0" applyFont="1" applyFill="1" applyAlignment="1">
      <alignment horizontal="center" vertical="center"/>
    </xf>
    <xf numFmtId="0" fontId="3" fillId="3" borderId="0" xfId="0" applyFont="1" applyFill="1" applyAlignment="1">
      <alignment horizontal="center" vertical="center"/>
    </xf>
    <xf numFmtId="0" fontId="7" fillId="0" borderId="1" xfId="0" applyFont="1" applyBorder="1" applyAlignment="1">
      <alignment vertical="center" wrapText="1"/>
    </xf>
    <xf numFmtId="0" fontId="8" fillId="0" borderId="1" xfId="0" applyFont="1" applyBorder="1" applyAlignment="1">
      <alignment vertical="center"/>
    </xf>
    <xf numFmtId="0" fontId="9" fillId="0" borderId="1" xfId="0" applyFont="1" applyBorder="1" applyAlignment="1">
      <alignment vertical="center" wrapText="1"/>
    </xf>
    <xf numFmtId="0" fontId="9" fillId="4" borderId="1" xfId="0" applyFont="1" applyFill="1" applyBorder="1" applyAlignment="1">
      <alignment vertical="center"/>
    </xf>
    <xf numFmtId="0" fontId="9" fillId="4" borderId="1" xfId="0" applyFont="1" applyFill="1" applyBorder="1" applyAlignment="1">
      <alignment vertical="center" wrapText="1"/>
    </xf>
    <xf numFmtId="0" fontId="10" fillId="0" borderId="1" xfId="0" applyFont="1" applyBorder="1" applyAlignment="1">
      <alignment vertical="center"/>
    </xf>
    <xf numFmtId="0" fontId="11" fillId="0" borderId="1" xfId="0" applyFont="1" applyBorder="1" applyAlignment="1">
      <alignment vertical="center"/>
    </xf>
    <xf numFmtId="0" fontId="12" fillId="0" borderId="2" xfId="0" applyFont="1" applyBorder="1"/>
    <xf numFmtId="0" fontId="13" fillId="0" borderId="2" xfId="0" applyFont="1" applyBorder="1" applyAlignment="1">
      <alignment horizontal="center"/>
    </xf>
    <xf numFmtId="0" fontId="14" fillId="0" borderId="2" xfId="0" applyFont="1" applyBorder="1"/>
    <xf numFmtId="0" fontId="15" fillId="0" borderId="2" xfId="0" applyFont="1" applyBorder="1" applyAlignment="1">
      <alignment horizontal="center"/>
    </xf>
    <xf numFmtId="0" fontId="16" fillId="0" borderId="2" xfId="0" applyFont="1" applyBorder="1"/>
    <xf numFmtId="0" fontId="17" fillId="0" borderId="2" xfId="0" applyFont="1" applyBorder="1" applyAlignment="1">
      <alignment horizontal="center"/>
    </xf>
    <xf numFmtId="0" fontId="18" fillId="0" borderId="2" xfId="0" applyFont="1" applyBorder="1"/>
    <xf numFmtId="0" fontId="19" fillId="0" borderId="2" xfId="0" applyFont="1" applyBorder="1" applyAlignment="1">
      <alignment horizontal="center"/>
    </xf>
    <xf numFmtId="0" fontId="7" fillId="0" borderId="0" xfId="0" applyFont="1"/>
    <xf numFmtId="0" fontId="20" fillId="0" borderId="0" xfId="0" applyFont="1" applyAlignment="1">
      <alignment horizontal="center"/>
    </xf>
    <xf numFmtId="0" fontId="6" fillId="0" borderId="0" xfId="0" applyFont="1"/>
    <xf numFmtId="0" fontId="0" fillId="0" borderId="0" xfId="0"/>
    <xf numFmtId="0" fontId="1" fillId="0" borderId="0" xfId="0" applyFont="1"/>
    <xf numFmtId="0" fontId="2" fillId="0" borderId="0" xfId="0" applyFont="1"/>
    <xf numFmtId="0" fontId="5" fillId="0" borderId="1" xfId="0" applyFont="1" applyBorder="1" applyAlignment="1">
      <alignment horizontal="center" vertical="top" wrapText="1"/>
    </xf>
    <xf numFmtId="0" fontId="5" fillId="4" borderId="1" xfId="0" applyFont="1" applyFill="1" applyBorder="1" applyAlignment="1">
      <alignment horizontal="center" vertical="top" wrapText="1"/>
    </xf>
  </cellXfs>
  <cellStyles count="1">
    <cellStyle name="Normal" xfId="0" builtinId="0"/>
  </cellStyles>
  <dxfs count="7">
    <dxf>
      <font>
        <b/>
        <i val="0"/>
        <color rgb="FFB42318"/>
      </font>
      <fill>
        <patternFill patternType="solid">
          <fgColor indexed="64"/>
          <bgColor rgb="FFFDECEA"/>
        </patternFill>
      </fill>
    </dxf>
    <dxf>
      <font>
        <b/>
        <i val="0"/>
        <color rgb="FF9A6A00"/>
      </font>
      <fill>
        <patternFill patternType="solid">
          <fgColor indexed="64"/>
          <bgColor rgb="FFFFF6E0"/>
        </patternFill>
      </fill>
    </dxf>
    <dxf>
      <font>
        <b/>
        <i val="0"/>
        <color rgb="FF2F6B36"/>
      </font>
      <fill>
        <patternFill patternType="solid">
          <fgColor indexed="64"/>
          <bgColor rgb="FFE8F5EA"/>
        </patternFill>
      </fill>
    </dxf>
    <dxf>
      <fill>
        <patternFill patternType="solid">
          <fgColor rgb="FFF0F2F4"/>
        </patternFill>
      </fill>
    </dxf>
    <dxf>
      <fill>
        <patternFill patternType="solid">
          <fgColor rgb="FFFDECEA"/>
        </patternFill>
      </fill>
    </dxf>
    <dxf>
      <fill>
        <patternFill patternType="solid">
          <fgColor rgb="FFFDF5E4"/>
        </patternFill>
      </fill>
    </dxf>
    <dxf>
      <fill>
        <patternFill patternType="solid">
          <fgColor rgb="FFEDF6E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46D67F8-55DC-48A9-BEBB-0F67535FC720}">
  <we:reference id="wa200009404" version="1.0.0.8" store="en-US" storeType="OMEX"/>
  <we:alternateReferences>
    <we:reference id="wa200009404" version="1.0.0.8" store="en-US" storeType="OMEX"/>
  </we:alternateReferences>
  <we:properties>
    <we:property name="claude.fileId" value="&quot;c9b3d08b-302e-4a18-979c-68140569e10c&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864"/>
  </sheetPr>
  <dimension ref="B1:F22"/>
  <sheetViews>
    <sheetView showGridLines="0" tabSelected="1" workbookViewId="0">
      <pane xSplit="2" ySplit="5" topLeftCell="C6" activePane="bottomRight" state="frozen"/>
      <selection pane="topRight" activeCell="C1" sqref="C1"/>
      <selection pane="bottomLeft" activeCell="A6" sqref="A6"/>
      <selection pane="bottomRight" activeCell="F3" sqref="F1:F1048576"/>
    </sheetView>
  </sheetViews>
  <sheetFormatPr defaultRowHeight="15" x14ac:dyDescent="0.25"/>
  <cols>
    <col min="1" max="1" width="2.28515625" customWidth="1"/>
    <col min="2" max="2" width="5.28515625" customWidth="1"/>
    <col min="3" max="3" width="31.42578125" customWidth="1"/>
    <col min="4" max="4" width="13.28515625" customWidth="1"/>
    <col min="5" max="5" width="57.140625" customWidth="1"/>
    <col min="6" max="6" width="14.28515625" customWidth="1"/>
  </cols>
  <sheetData>
    <row r="1" spans="2:6" ht="33.950000000000003" customHeight="1" x14ac:dyDescent="0.35">
      <c r="B1" s="28" t="s">
        <v>0</v>
      </c>
      <c r="C1" s="27"/>
      <c r="D1" s="27"/>
      <c r="E1" s="27"/>
      <c r="F1" s="27"/>
    </row>
    <row r="2" spans="2:6" ht="17.100000000000001" customHeight="1" x14ac:dyDescent="0.25">
      <c r="B2" s="29" t="s">
        <v>56</v>
      </c>
      <c r="C2" s="27"/>
      <c r="D2" s="27"/>
      <c r="E2" s="27"/>
      <c r="F2" s="27"/>
    </row>
    <row r="3" spans="2:6" ht="2.4500000000000002" customHeight="1" x14ac:dyDescent="0.25">
      <c r="B3" s="1"/>
      <c r="C3" s="1"/>
      <c r="D3" s="1"/>
      <c r="E3" s="1"/>
      <c r="F3" s="1"/>
    </row>
    <row r="4" spans="2:6" ht="9.9499999999999993" customHeight="1" x14ac:dyDescent="0.25"/>
    <row r="5" spans="2:6" ht="26.1" customHeight="1" x14ac:dyDescent="0.25">
      <c r="B5" s="2" t="s">
        <v>1</v>
      </c>
      <c r="C5" s="2" t="s">
        <v>2</v>
      </c>
      <c r="D5" s="3" t="s">
        <v>4</v>
      </c>
      <c r="E5" s="3" t="s">
        <v>57</v>
      </c>
      <c r="F5" s="2" t="s">
        <v>6</v>
      </c>
    </row>
    <row r="6" spans="2:6" x14ac:dyDescent="0.25">
      <c r="B6" s="4">
        <v>1</v>
      </c>
      <c r="C6" s="5" t="s">
        <v>28</v>
      </c>
      <c r="D6" s="31" t="s">
        <v>7</v>
      </c>
      <c r="E6" s="6"/>
      <c r="F6" s="30"/>
    </row>
    <row r="7" spans="2:6" ht="25.5" x14ac:dyDescent="0.25">
      <c r="B7" s="4">
        <v>2</v>
      </c>
      <c r="C7" s="5" t="s">
        <v>9</v>
      </c>
      <c r="D7" s="31" t="s">
        <v>8</v>
      </c>
      <c r="E7" s="6" t="s">
        <v>41</v>
      </c>
      <c r="F7" s="30"/>
    </row>
    <row r="8" spans="2:6" ht="25.5" x14ac:dyDescent="0.25">
      <c r="B8" s="4">
        <v>3</v>
      </c>
      <c r="C8" s="5" t="s">
        <v>42</v>
      </c>
      <c r="D8" s="31" t="s">
        <v>8</v>
      </c>
      <c r="E8" s="6" t="s">
        <v>43</v>
      </c>
      <c r="F8" s="30"/>
    </row>
    <row r="9" spans="2:6" ht="25.5" x14ac:dyDescent="0.25">
      <c r="B9" s="4">
        <v>4</v>
      </c>
      <c r="C9" s="5" t="s">
        <v>10</v>
      </c>
      <c r="D9" s="31" t="s">
        <v>8</v>
      </c>
      <c r="E9" s="6" t="s">
        <v>55</v>
      </c>
      <c r="F9" s="30"/>
    </row>
    <row r="10" spans="2:6" ht="25.5" x14ac:dyDescent="0.25">
      <c r="B10" s="4">
        <v>5</v>
      </c>
      <c r="C10" s="5" t="s">
        <v>12</v>
      </c>
      <c r="D10" s="31" t="s">
        <v>8</v>
      </c>
      <c r="E10" s="6" t="s">
        <v>44</v>
      </c>
      <c r="F10" s="30"/>
    </row>
    <row r="11" spans="2:6" ht="51" x14ac:dyDescent="0.25">
      <c r="B11" s="4">
        <v>6</v>
      </c>
      <c r="C11" s="5" t="s">
        <v>13</v>
      </c>
      <c r="D11" s="31" t="s">
        <v>7</v>
      </c>
      <c r="E11" s="6" t="s">
        <v>45</v>
      </c>
      <c r="F11" s="30"/>
    </row>
    <row r="12" spans="2:6" ht="38.25" x14ac:dyDescent="0.25">
      <c r="B12" s="4">
        <v>7</v>
      </c>
      <c r="C12" s="5" t="s">
        <v>14</v>
      </c>
      <c r="D12" s="31" t="s">
        <v>8</v>
      </c>
      <c r="E12" s="6" t="s">
        <v>46</v>
      </c>
      <c r="F12" s="30"/>
    </row>
    <row r="13" spans="2:6" ht="25.5" x14ac:dyDescent="0.25">
      <c r="B13" s="4">
        <v>8</v>
      </c>
      <c r="C13" s="5" t="s">
        <v>16</v>
      </c>
      <c r="D13" s="31" t="s">
        <v>8</v>
      </c>
      <c r="E13" s="6" t="s">
        <v>47</v>
      </c>
      <c r="F13" s="30"/>
    </row>
    <row r="14" spans="2:6" ht="25.5" x14ac:dyDescent="0.25">
      <c r="B14" s="4">
        <v>9</v>
      </c>
      <c r="C14" s="5" t="s">
        <v>17</v>
      </c>
      <c r="D14" s="31" t="s">
        <v>7</v>
      </c>
      <c r="E14" s="6" t="s">
        <v>48</v>
      </c>
      <c r="F14" s="30"/>
    </row>
    <row r="15" spans="2:6" ht="25.5" x14ac:dyDescent="0.25">
      <c r="B15" s="4">
        <v>10</v>
      </c>
      <c r="C15" s="5" t="s">
        <v>18</v>
      </c>
      <c r="D15" s="31" t="s">
        <v>8</v>
      </c>
      <c r="E15" s="6" t="s">
        <v>49</v>
      </c>
      <c r="F15" s="30"/>
    </row>
    <row r="16" spans="2:6" ht="63.75" x14ac:dyDescent="0.25">
      <c r="B16" s="4">
        <v>11</v>
      </c>
      <c r="C16" s="5" t="s">
        <v>19</v>
      </c>
      <c r="D16" s="31" t="s">
        <v>8</v>
      </c>
      <c r="E16" s="6" t="s">
        <v>50</v>
      </c>
      <c r="F16" s="30"/>
    </row>
    <row r="17" spans="2:6" ht="25.5" x14ac:dyDescent="0.25">
      <c r="B17" s="4">
        <v>12</v>
      </c>
      <c r="C17" s="5" t="s">
        <v>20</v>
      </c>
      <c r="D17" s="31" t="s">
        <v>8</v>
      </c>
      <c r="E17" s="6" t="s">
        <v>54</v>
      </c>
      <c r="F17" s="30"/>
    </row>
    <row r="18" spans="2:6" ht="25.5" x14ac:dyDescent="0.25">
      <c r="B18" s="4">
        <v>13</v>
      </c>
      <c r="C18" s="5" t="s">
        <v>21</v>
      </c>
      <c r="D18" s="31" t="s">
        <v>8</v>
      </c>
      <c r="E18" s="6" t="s">
        <v>51</v>
      </c>
      <c r="F18" s="30"/>
    </row>
    <row r="19" spans="2:6" ht="25.5" x14ac:dyDescent="0.25">
      <c r="B19" s="4">
        <v>14</v>
      </c>
      <c r="C19" s="5" t="s">
        <v>22</v>
      </c>
      <c r="D19" s="31" t="s">
        <v>8</v>
      </c>
      <c r="E19" s="6" t="s">
        <v>52</v>
      </c>
      <c r="F19" s="30"/>
    </row>
    <row r="20" spans="2:6" ht="25.5" x14ac:dyDescent="0.25">
      <c r="B20" s="4">
        <v>15</v>
      </c>
      <c r="C20" s="5" t="s">
        <v>23</v>
      </c>
      <c r="D20" s="31" t="s">
        <v>8</v>
      </c>
      <c r="E20" s="6" t="s">
        <v>53</v>
      </c>
      <c r="F20" s="30"/>
    </row>
    <row r="22" spans="2:6" x14ac:dyDescent="0.25">
      <c r="B22" s="26"/>
      <c r="C22" s="27"/>
      <c r="D22" s="27"/>
      <c r="E22" s="27"/>
      <c r="F22" s="27"/>
    </row>
  </sheetData>
  <autoFilter ref="B5:F20" xr:uid="{00000000-0001-0000-0000-000000000000}"/>
  <mergeCells count="3">
    <mergeCell ref="B22:F22"/>
    <mergeCell ref="B1:F1"/>
    <mergeCell ref="B2:F2"/>
  </mergeCells>
  <conditionalFormatting sqref="D6:D20">
    <cfRule type="containsText" dxfId="2" priority="1" operator="containsText" text="Արված">
      <formula>NOT(ISERROR(SEARCH("Արված",D6)))</formula>
    </cfRule>
  </conditionalFormatting>
  <conditionalFormatting sqref="D6:D20">
    <cfRule type="containsText" dxfId="1" priority="2" operator="containsText" text="Ընթացքում">
      <formula>NOT(ISERROR(SEARCH("Ընթացքում",D6)))</formula>
    </cfRule>
  </conditionalFormatting>
  <conditionalFormatting sqref="D6:D20">
    <cfRule type="containsText" dxfId="0" priority="3" operator="containsText" text="Չսկսված">
      <formula>NOT(ISERROR(SEARCH("Չսկսված",D6)))</formula>
    </cfRule>
  </conditionalFormatting>
  <dataValidations count="1">
    <dataValidation type="list" allowBlank="1" sqref="D6:D20" xr:uid="{00000000-0002-0000-0000-000000000000}">
      <formula1>"Արված,Ընթացքում,Չսկսված,Պարզ չէ"</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B42318"/>
  </sheetPr>
  <dimension ref="B1:F9"/>
  <sheetViews>
    <sheetView showGridLines="0" workbookViewId="0"/>
  </sheetViews>
  <sheetFormatPr defaultRowHeight="15" x14ac:dyDescent="0.25"/>
  <cols>
    <col min="1" max="1" width="2" customWidth="1"/>
    <col min="2" max="2" width="38" customWidth="1"/>
    <col min="3" max="3" width="16" customWidth="1"/>
    <col min="4" max="4" width="52" customWidth="1"/>
    <col min="5" max="5" width="18" customWidth="1"/>
    <col min="6" max="6" width="44" customWidth="1"/>
    <col min="7" max="7" width="2" customWidth="1"/>
  </cols>
  <sheetData>
    <row r="1" spans="2:6" ht="33.950000000000003" customHeight="1" x14ac:dyDescent="0.35">
      <c r="B1" s="28" t="s">
        <v>24</v>
      </c>
      <c r="C1" s="27"/>
      <c r="D1" s="27"/>
      <c r="E1" s="27"/>
      <c r="F1" s="27"/>
    </row>
    <row r="2" spans="2:6" ht="17.100000000000001" customHeight="1" x14ac:dyDescent="0.25">
      <c r="B2" s="26" t="s">
        <v>25</v>
      </c>
      <c r="C2" s="27"/>
      <c r="D2" s="27"/>
      <c r="E2" s="27"/>
      <c r="F2" s="27"/>
    </row>
    <row r="3" spans="2:6" ht="2.4500000000000002" customHeight="1" x14ac:dyDescent="0.25">
      <c r="B3" s="1"/>
      <c r="C3" s="1"/>
      <c r="D3" s="1"/>
      <c r="E3" s="1"/>
      <c r="F3" s="1"/>
    </row>
    <row r="4" spans="2:6" ht="9.9499999999999993" customHeight="1" x14ac:dyDescent="0.25"/>
    <row r="5" spans="2:6" ht="26.1" customHeight="1" x14ac:dyDescent="0.25">
      <c r="B5" s="7" t="s">
        <v>26</v>
      </c>
      <c r="C5" s="7" t="s">
        <v>3</v>
      </c>
      <c r="D5" s="7" t="s">
        <v>27</v>
      </c>
      <c r="E5" s="8" t="s">
        <v>4</v>
      </c>
      <c r="F5" s="8" t="s">
        <v>5</v>
      </c>
    </row>
    <row r="6" spans="2:6" ht="39.950000000000003" customHeight="1" x14ac:dyDescent="0.25">
      <c r="B6" s="9" t="s">
        <v>28</v>
      </c>
      <c r="C6" s="10" t="s">
        <v>7</v>
      </c>
      <c r="D6" s="11" t="s">
        <v>29</v>
      </c>
      <c r="E6" s="12"/>
      <c r="F6" s="13"/>
    </row>
    <row r="7" spans="2:6" ht="39.950000000000003" customHeight="1" x14ac:dyDescent="0.25">
      <c r="B7" s="9" t="s">
        <v>30</v>
      </c>
      <c r="C7" s="14" t="s">
        <v>11</v>
      </c>
      <c r="D7" s="11" t="s">
        <v>31</v>
      </c>
      <c r="E7" s="12"/>
      <c r="F7" s="13"/>
    </row>
    <row r="8" spans="2:6" ht="39.950000000000003" customHeight="1" x14ac:dyDescent="0.25">
      <c r="B8" s="9" t="s">
        <v>32</v>
      </c>
      <c r="C8" s="14" t="s">
        <v>11</v>
      </c>
      <c r="D8" s="11" t="s">
        <v>33</v>
      </c>
      <c r="E8" s="12"/>
      <c r="F8" s="13"/>
    </row>
    <row r="9" spans="2:6" ht="39.950000000000003" customHeight="1" x14ac:dyDescent="0.25">
      <c r="B9" s="9" t="s">
        <v>34</v>
      </c>
      <c r="C9" s="15" t="s">
        <v>8</v>
      </c>
      <c r="D9" s="11" t="s">
        <v>35</v>
      </c>
      <c r="E9" s="12"/>
      <c r="F9" s="13"/>
    </row>
  </sheetData>
  <mergeCells count="2">
    <mergeCell ref="B2:F2"/>
    <mergeCell ref="B1:F1"/>
  </mergeCells>
  <dataValidations count="1">
    <dataValidation type="list" allowBlank="1" sqref="E6:E9" xr:uid="{00000000-0002-0000-0100-000000000000}">
      <formula1>"Արված,Ընթացքում,Չսկսված,Պարզ չէ"</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F6B36"/>
  </sheetPr>
  <dimension ref="B1:D11"/>
  <sheetViews>
    <sheetView showGridLines="0" workbookViewId="0"/>
  </sheetViews>
  <sheetFormatPr defaultRowHeight="15" x14ac:dyDescent="0.25"/>
  <cols>
    <col min="1" max="1" width="2" customWidth="1"/>
    <col min="2" max="2" width="26" customWidth="1"/>
    <col min="3" max="4" width="16" customWidth="1"/>
    <col min="5" max="5" width="2" customWidth="1"/>
  </cols>
  <sheetData>
    <row r="1" spans="2:4" ht="33.950000000000003" customHeight="1" x14ac:dyDescent="0.35">
      <c r="B1" s="28" t="s">
        <v>36</v>
      </c>
      <c r="C1" s="27"/>
      <c r="D1" s="27"/>
    </row>
    <row r="2" spans="2:4" ht="2.4500000000000002" customHeight="1" x14ac:dyDescent="0.25">
      <c r="B2" s="1"/>
      <c r="C2" s="1"/>
      <c r="D2" s="1"/>
    </row>
    <row r="4" spans="2:4" ht="26.1" customHeight="1" x14ac:dyDescent="0.25">
      <c r="B4" s="7" t="s">
        <v>37</v>
      </c>
      <c r="C4" s="7" t="s">
        <v>3</v>
      </c>
      <c r="D4" s="7" t="s">
        <v>38</v>
      </c>
    </row>
    <row r="5" spans="2:4" ht="24" customHeight="1" x14ac:dyDescent="0.25">
      <c r="B5" s="16" t="s">
        <v>7</v>
      </c>
      <c r="C5" s="17" t="e">
        <f>COUNTIF(ՊԱՀԱՆՋՆԵՐ!#REF!,"Արված")</f>
        <v>#REF!</v>
      </c>
      <c r="D5" s="17">
        <f>COUNTIF(ՊԱՀԱՆՋՆԵՐ!D6:D20,"Արված")</f>
        <v>3</v>
      </c>
    </row>
    <row r="6" spans="2:4" ht="24" customHeight="1" x14ac:dyDescent="0.25">
      <c r="B6" s="18" t="s">
        <v>8</v>
      </c>
      <c r="C6" s="19" t="e">
        <f>COUNTIF(ՊԱՀԱՆՋՆԵՐ!#REF!,"Ընթացքում")</f>
        <v>#REF!</v>
      </c>
      <c r="D6" s="19">
        <f>COUNTIF(ՊԱՀԱՆՋՆԵՐ!D6:D20,"Ընթացքում")</f>
        <v>12</v>
      </c>
    </row>
    <row r="7" spans="2:4" ht="24" customHeight="1" x14ac:dyDescent="0.25">
      <c r="B7" s="20" t="s">
        <v>11</v>
      </c>
      <c r="C7" s="21" t="e">
        <f>COUNTIF(ՊԱՀԱՆՋՆԵՐ!#REF!,"Չսկսված")</f>
        <v>#REF!</v>
      </c>
      <c r="D7" s="21">
        <f>COUNTIF(ՊԱՀԱՆՋՆԵՐ!D6:D20,"Չսկսված")</f>
        <v>0</v>
      </c>
    </row>
    <row r="8" spans="2:4" ht="24" customHeight="1" x14ac:dyDescent="0.25">
      <c r="B8" s="22" t="s">
        <v>15</v>
      </c>
      <c r="C8" s="23" t="e">
        <f>COUNTIF(ՊԱՀԱՆՋՆԵՐ!#REF!,"Պարզ չէ")</f>
        <v>#REF!</v>
      </c>
      <c r="D8" s="23">
        <f>COUNTIF(ՊԱՀԱՆՋՆԵՐ!D6:D20,"Պարզ չէ")</f>
        <v>0</v>
      </c>
    </row>
    <row r="9" spans="2:4" ht="24" customHeight="1" x14ac:dyDescent="0.25">
      <c r="B9" s="24" t="s">
        <v>39</v>
      </c>
      <c r="C9" s="25">
        <f>COUNTA(ՊԱՀԱՆՋՆԵՐ!#REF!)</f>
        <v>1</v>
      </c>
      <c r="D9" s="25">
        <f>COUNTA(ՊԱՀԱՆՋՆԵՐ!D6:D20)</f>
        <v>15</v>
      </c>
    </row>
    <row r="11" spans="2:4" x14ac:dyDescent="0.25">
      <c r="B11" s="26" t="s">
        <v>40</v>
      </c>
      <c r="C11" s="27"/>
      <c r="D11" s="27"/>
    </row>
  </sheetData>
  <mergeCells count="2">
    <mergeCell ref="B11:D11"/>
    <mergeCell ref="B1:D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ՊԱՀԱՆՋՆԵՐ</vt:lpstr>
      <vt:lpstr>4 ՊԱՀԱՆՋԸ</vt:lpstr>
      <vt:lpstr>ԱՄՓՈՓ</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2026-09-09T13:29:12Z</dcterms:created>
  <dcterms:modified xsi:type="dcterms:W3CDTF">2026-09-09T14:06:07Z</dcterms:modified>
</cp:coreProperties>
</file>