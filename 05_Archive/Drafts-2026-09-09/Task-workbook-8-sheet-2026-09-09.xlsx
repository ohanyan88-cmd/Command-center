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ԱՄՓՈՓ" sheetId="1" state="visible" r:id="rId1"/>
    <sheet xmlns:r="http://schemas.openxmlformats.org/officeDocument/2006/relationships" name="ՕՐՎԱ ՊԼԱՆ" sheetId="2" state="visible" r:id="rId2"/>
    <sheet xmlns:r="http://schemas.openxmlformats.org/officeDocument/2006/relationships" name="ՔԱՐՏԵՐ" sheetId="3" state="visible" r:id="rId3"/>
    <sheet xmlns:r="http://schemas.openxmlformats.org/officeDocument/2006/relationships" name="ՍՏԱՑՎԱԾ" sheetId="4" state="visible" r:id="rId4"/>
    <sheet xmlns:r="http://schemas.openxmlformats.org/officeDocument/2006/relationships" name="ՏՐՎԱԾ" sheetId="5" state="visible" r:id="rId5"/>
    <sheet xmlns:r="http://schemas.openxmlformats.org/officeDocument/2006/relationships" name="ԳՐԱՆՑԱՄԱՏՅԱՆ" sheetId="6" state="visible" r:id="rId6"/>
    <sheet xmlns:r="http://schemas.openxmlformats.org/officeDocument/2006/relationships" name="ԱՆՁԻՆՔ" sheetId="7" state="visible" r:id="rId7"/>
    <sheet xmlns:r="http://schemas.openxmlformats.org/officeDocument/2006/relationships" name="ՀԱՐՑԵՐ" sheetId="8" state="visible" r:id="rId8"/>
  </sheets>
  <definedNames>
    <definedName name="_xlnm._FilterDatabase" localSheetId="3" hidden="1">'ՍՏԱՑՎԱԾ'!$A$1:$S$31</definedName>
    <definedName name="_xlnm._FilterDatabase" localSheetId="4" hidden="1">'ՏՐՎԱԾ'!$A$1:$P$10</definedName>
    <definedName name="_xlnm._FilterDatabase" localSheetId="5" hidden="1">'ԳՐԱՆՑԱՄԱՏՅԱՆ'!$A$1:$F$14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6">
    <font>
      <name val="Calibri"/>
      <family val="2"/>
      <color theme="1"/>
      <sz val="11"/>
      <scheme val="minor"/>
    </font>
    <font>
      <name val="Calibri"/>
      <b val="1"/>
      <color rgb="001F3864"/>
      <sz val="17"/>
    </font>
    <font>
      <name val="Calibri"/>
      <color rgb="008B9099"/>
      <sz val="9"/>
    </font>
    <font>
      <name val="Calibri"/>
      <b val="1"/>
      <color rgb="00B42318"/>
      <sz val="24"/>
    </font>
    <font>
      <name val="Calibri"/>
      <b val="1"/>
      <color rgb="00B42318"/>
      <sz val="8.5"/>
    </font>
    <font>
      <name val="Calibri"/>
      <b val="1"/>
      <color rgb="009A6A00"/>
      <sz val="24"/>
    </font>
    <font>
      <name val="Calibri"/>
      <b val="1"/>
      <color rgb="009A6A00"/>
      <sz val="8.5"/>
    </font>
    <font>
      <name val="Calibri"/>
      <b val="1"/>
      <color rgb="0018539E"/>
      <sz val="24"/>
    </font>
    <font>
      <name val="Calibri"/>
      <b val="1"/>
      <color rgb="0018539E"/>
      <sz val="8.5"/>
    </font>
    <font>
      <name val="Calibri"/>
      <b val="1"/>
      <color rgb="008B9099"/>
      <sz val="24"/>
    </font>
    <font>
      <name val="Calibri"/>
      <b val="1"/>
      <color rgb="008B9099"/>
      <sz val="8.5"/>
    </font>
    <font>
      <name val="Calibri"/>
      <b val="1"/>
      <color rgb="002F6B36"/>
      <sz val="24"/>
    </font>
    <font>
      <name val="Calibri"/>
      <b val="1"/>
      <color rgb="002F6B36"/>
      <sz val="8.5"/>
    </font>
    <font>
      <name val="Calibri"/>
      <b val="1"/>
      <color rgb="00B42318"/>
      <sz val="11"/>
    </font>
    <font>
      <name val="Calibri"/>
      <b val="1"/>
      <color rgb="009A6A00"/>
      <sz val="11"/>
    </font>
    <font>
      <name val="Calibri"/>
      <b val="1"/>
      <color rgb="00B9BEC6"/>
      <sz val="8"/>
    </font>
    <font>
      <name val="Calibri"/>
      <b val="1"/>
      <color rgb="00B42318"/>
      <sz val="8"/>
    </font>
    <font>
      <name val="Calibri"/>
      <b val="1"/>
      <color rgb="0024292F"/>
      <sz val="9.5"/>
    </font>
    <font>
      <name val="Calibri"/>
      <b val="1"/>
      <color rgb="009A6A00"/>
      <sz val="8"/>
    </font>
    <font>
      <name val="Calibri"/>
      <b val="1"/>
      <color rgb="008B9099"/>
      <sz val="12"/>
    </font>
    <font>
      <name val="Calibri"/>
      <b val="1"/>
      <color rgb="008B9099"/>
      <sz val="9"/>
    </font>
    <font>
      <name val="Calibri"/>
      <b val="1"/>
      <color rgb="0024292F"/>
      <sz val="9"/>
    </font>
    <font>
      <name val="Calibri"/>
      <color rgb="0024292F"/>
      <sz val="9"/>
    </font>
    <font>
      <name val="Calibri"/>
      <b val="1"/>
      <color rgb="008B9099"/>
      <sz val="8"/>
    </font>
    <font>
      <name val="Calibri"/>
      <b val="1"/>
      <color rgb="009A6A00"/>
      <sz val="12"/>
    </font>
    <font>
      <name val="Calibri"/>
      <b val="1"/>
      <color rgb="009A6A00"/>
      <sz val="9"/>
    </font>
    <font>
      <name val="Calibri"/>
      <b val="1"/>
      <color rgb="0024292F"/>
      <sz val="10.5"/>
    </font>
    <font>
      <name val="Calibri"/>
      <color rgb="00B9BEC6"/>
      <sz val="8"/>
    </font>
    <font>
      <name val="Calibri"/>
      <color rgb="0018539E"/>
      <sz val="9"/>
    </font>
    <font>
      <name val="Calibri"/>
      <b val="1"/>
      <color rgb="008B9099"/>
      <sz val="11"/>
    </font>
    <font>
      <name val="Calibri"/>
      <i val="1"/>
      <color rgb="008B9099"/>
      <sz val="9"/>
    </font>
    <font>
      <name val="Calibri"/>
      <b val="1"/>
      <color rgb="0024292F"/>
      <sz val="11"/>
    </font>
    <font>
      <name val="Calibri"/>
      <b val="1"/>
      <color rgb="00B9BEC6"/>
      <sz val="9"/>
    </font>
    <font>
      <name val="Calibri"/>
      <b val="1"/>
      <color rgb="0024292F"/>
      <sz val="11.5"/>
    </font>
    <font>
      <name val="Calibri"/>
      <color rgb="008B9099"/>
      <sz val="8.5"/>
    </font>
    <font>
      <name val="Calibri"/>
      <i val="1"/>
      <color rgb="008B9099"/>
      <sz val="8.5"/>
    </font>
    <font>
      <name val="Calibri"/>
      <b val="1"/>
      <color rgb="0018539E"/>
      <sz val="9"/>
    </font>
    <font>
      <name val="Calibri"/>
      <b val="1"/>
      <color rgb="0018539E"/>
      <sz val="12"/>
    </font>
    <font>
      <name val="Calibri"/>
      <b val="1"/>
      <color rgb="00B9BEC6"/>
      <sz val="8.5"/>
    </font>
    <font>
      <name val="Calibri"/>
      <b val="1"/>
      <color rgb="002F6B36"/>
      <sz val="12"/>
    </font>
    <font>
      <name val="Calibri"/>
      <b val="1"/>
      <color rgb="002F6B36"/>
      <sz val="9"/>
    </font>
    <font>
      <name val="Calibri"/>
      <b val="1"/>
      <color rgb="008B9099"/>
      <sz val="11.5"/>
    </font>
    <font>
      <name val="Calibri"/>
      <b val="1"/>
      <color rgb="00FFFFFF"/>
      <sz val="9.5"/>
    </font>
    <font>
      <name val="Calibri"/>
      <sz val="9.5"/>
    </font>
    <font>
      <name val="Calibri"/>
      <color rgb="00B42318"/>
      <sz val="9.5"/>
    </font>
    <font>
      <name val="Calibri"/>
      <color rgb="0024292F"/>
      <sz val="9.5"/>
    </font>
  </fonts>
  <fills count="16">
    <fill>
      <patternFill/>
    </fill>
    <fill>
      <patternFill patternType="gray125"/>
    </fill>
    <fill>
      <patternFill patternType="solid">
        <fgColor rgb="00F5F7F9"/>
      </patternFill>
    </fill>
    <fill>
      <patternFill patternType="solid">
        <fgColor rgb="001F3864"/>
      </patternFill>
    </fill>
    <fill>
      <patternFill patternType="solid">
        <fgColor rgb="00FDECEA"/>
      </patternFill>
    </fill>
    <fill>
      <patternFill patternType="solid">
        <fgColor rgb="00FDF5E4"/>
      </patternFill>
    </fill>
    <fill>
      <patternFill patternType="solid">
        <fgColor rgb="00EBF2FA"/>
      </patternFill>
    </fill>
    <fill>
      <patternFill patternType="solid">
        <fgColor rgb="00F0F2F4"/>
      </patternFill>
    </fill>
    <fill>
      <patternFill patternType="solid">
        <fgColor rgb="00EDF6EE"/>
      </patternFill>
    </fill>
    <fill>
      <patternFill patternType="solid">
        <fgColor rgb="00B42318"/>
      </patternFill>
    </fill>
    <fill>
      <patternFill patternType="solid">
        <fgColor rgb="009A6A00"/>
      </patternFill>
    </fill>
    <fill>
      <patternFill patternType="solid">
        <fgColor rgb="00FFFFFF"/>
      </patternFill>
    </fill>
    <fill>
      <patternFill patternType="solid">
        <fgColor rgb="008B9099"/>
      </patternFill>
    </fill>
    <fill>
      <patternFill patternType="solid">
        <fgColor rgb="00B9BEC6"/>
      </patternFill>
    </fill>
    <fill>
      <patternFill patternType="solid">
        <fgColor rgb="0018539E"/>
      </patternFill>
    </fill>
    <fill>
      <patternFill patternType="solid">
        <fgColor rgb="002F6B36"/>
      </patternFill>
    </fill>
  </fills>
  <borders count="71">
    <border>
      <left/>
      <right/>
      <top/>
      <bottom/>
      <diagonal/>
    </border>
    <border>
      <left style="thin">
        <color rgb="00B42318"/>
      </left>
      <top style="thin">
        <color rgb="00B42318"/>
      </top>
    </border>
    <border>
      <right style="thin">
        <color rgb="00B42318"/>
      </right>
      <top style="thin">
        <color rgb="00B42318"/>
      </top>
    </border>
    <border>
      <left style="thin">
        <color rgb="00B42318"/>
      </left>
    </border>
    <border>
      <right style="thin">
        <color rgb="00B42318"/>
      </right>
    </border>
    <border>
      <left style="thin">
        <color rgb="00B42318"/>
      </left>
      <bottom style="thin">
        <color rgb="00B42318"/>
      </bottom>
    </border>
    <border>
      <right style="thin">
        <color rgb="00B42318"/>
      </right>
      <bottom style="thin">
        <color rgb="00B42318"/>
      </bottom>
    </border>
    <border>
      <left style="thin">
        <color rgb="00B42318"/>
      </left>
      <right style="thin">
        <color rgb="00B42318"/>
      </right>
    </border>
    <border>
      <left/>
      <right style="thin">
        <color rgb="00B42318"/>
      </right>
      <top/>
      <bottom/>
      <diagonal/>
    </border>
    <border>
      <left style="thin">
        <color rgb="00B42318"/>
      </left>
      <right style="thin">
        <color rgb="00B42318"/>
      </right>
      <bottom style="thin">
        <color rgb="00B42318"/>
      </bottom>
    </border>
    <border>
      <left/>
      <right style="thin">
        <color rgb="00B42318"/>
      </right>
      <top/>
      <bottom style="thin">
        <color rgb="00B42318"/>
      </bottom>
      <diagonal/>
    </border>
    <border>
      <left style="thin">
        <color rgb="009A6A00"/>
      </left>
      <top style="thin">
        <color rgb="009A6A00"/>
      </top>
    </border>
    <border>
      <right style="thin">
        <color rgb="009A6A00"/>
      </right>
      <top style="thin">
        <color rgb="009A6A00"/>
      </top>
    </border>
    <border>
      <left style="thin">
        <color rgb="009A6A00"/>
      </left>
    </border>
    <border>
      <right style="thin">
        <color rgb="009A6A00"/>
      </right>
    </border>
    <border>
      <left style="thin">
        <color rgb="009A6A00"/>
      </left>
      <bottom style="thin">
        <color rgb="009A6A00"/>
      </bottom>
    </border>
    <border>
      <right style="thin">
        <color rgb="009A6A00"/>
      </right>
      <bottom style="thin">
        <color rgb="009A6A00"/>
      </bottom>
    </border>
    <border>
      <left style="thin">
        <color rgb="009A6A00"/>
      </left>
      <right style="thin">
        <color rgb="009A6A00"/>
      </right>
    </border>
    <border>
      <left/>
      <right style="thin">
        <color rgb="009A6A00"/>
      </right>
      <top/>
      <bottom/>
      <diagonal/>
    </border>
    <border>
      <left style="thin">
        <color rgb="009A6A00"/>
      </left>
      <right style="thin">
        <color rgb="009A6A00"/>
      </right>
      <bottom style="thin">
        <color rgb="009A6A00"/>
      </bottom>
    </border>
    <border>
      <left/>
      <right style="thin">
        <color rgb="009A6A00"/>
      </right>
      <top/>
      <bottom style="thin">
        <color rgb="009A6A00"/>
      </bottom>
      <diagonal/>
    </border>
    <border>
      <left style="thin">
        <color rgb="0018539E"/>
      </left>
      <top style="thin">
        <color rgb="0018539E"/>
      </top>
    </border>
    <border>
      <right style="thin">
        <color rgb="0018539E"/>
      </right>
      <top style="thin">
        <color rgb="0018539E"/>
      </top>
    </border>
    <border>
      <left style="thin">
        <color rgb="0018539E"/>
      </left>
    </border>
    <border>
      <right style="thin">
        <color rgb="0018539E"/>
      </right>
    </border>
    <border>
      <left style="thin">
        <color rgb="0018539E"/>
      </left>
      <bottom style="thin">
        <color rgb="0018539E"/>
      </bottom>
    </border>
    <border>
      <right style="thin">
        <color rgb="0018539E"/>
      </right>
      <bottom style="thin">
        <color rgb="0018539E"/>
      </bottom>
    </border>
    <border>
      <left style="thin">
        <color rgb="0018539E"/>
      </left>
      <right style="thin">
        <color rgb="0018539E"/>
      </right>
    </border>
    <border>
      <left/>
      <right style="thin">
        <color rgb="0018539E"/>
      </right>
      <top/>
      <bottom/>
      <diagonal/>
    </border>
    <border>
      <left style="thin">
        <color rgb="0018539E"/>
      </left>
      <right style="thin">
        <color rgb="0018539E"/>
      </right>
      <bottom style="thin">
        <color rgb="0018539E"/>
      </bottom>
    </border>
    <border>
      <left/>
      <right style="thin">
        <color rgb="0018539E"/>
      </right>
      <top/>
      <bottom style="thin">
        <color rgb="0018539E"/>
      </bottom>
      <diagonal/>
    </border>
    <border>
      <left style="thin">
        <color rgb="008B9099"/>
      </left>
      <top style="thin">
        <color rgb="008B9099"/>
      </top>
    </border>
    <border>
      <right style="thin">
        <color rgb="008B9099"/>
      </right>
      <top style="thin">
        <color rgb="008B9099"/>
      </top>
    </border>
    <border>
      <left style="thin">
        <color rgb="008B9099"/>
      </left>
    </border>
    <border>
      <right style="thin">
        <color rgb="008B9099"/>
      </right>
    </border>
    <border>
      <left style="thin">
        <color rgb="008B9099"/>
      </left>
      <bottom style="thin">
        <color rgb="008B9099"/>
      </bottom>
    </border>
    <border>
      <right style="thin">
        <color rgb="008B9099"/>
      </right>
      <bottom style="thin">
        <color rgb="008B9099"/>
      </bottom>
    </border>
    <border>
      <left style="thin">
        <color rgb="008B9099"/>
      </left>
      <right style="thin">
        <color rgb="008B9099"/>
      </right>
    </border>
    <border>
      <left/>
      <right style="thin">
        <color rgb="008B9099"/>
      </right>
      <top/>
      <bottom/>
      <diagonal/>
    </border>
    <border>
      <left style="thin">
        <color rgb="008B9099"/>
      </left>
      <right style="thin">
        <color rgb="008B9099"/>
      </right>
      <bottom style="thin">
        <color rgb="008B9099"/>
      </bottom>
    </border>
    <border>
      <left/>
      <right style="thin">
        <color rgb="008B9099"/>
      </right>
      <top/>
      <bottom style="thin">
        <color rgb="008B9099"/>
      </bottom>
      <diagonal/>
    </border>
    <border>
      <left style="thin">
        <color rgb="002F6B36"/>
      </left>
      <top style="thin">
        <color rgb="002F6B36"/>
      </top>
    </border>
    <border>
      <right style="thin">
        <color rgb="002F6B36"/>
      </right>
      <top style="thin">
        <color rgb="002F6B36"/>
      </top>
    </border>
    <border>
      <left style="thin">
        <color rgb="002F6B36"/>
      </left>
    </border>
    <border>
      <right style="thin">
        <color rgb="002F6B36"/>
      </right>
    </border>
    <border>
      <left style="thin">
        <color rgb="002F6B36"/>
      </left>
      <bottom style="thin">
        <color rgb="002F6B36"/>
      </bottom>
    </border>
    <border>
      <right style="thin">
        <color rgb="002F6B36"/>
      </right>
      <bottom style="thin">
        <color rgb="002F6B36"/>
      </bottom>
    </border>
    <border>
      <left style="thin">
        <color rgb="002F6B36"/>
      </left>
      <right style="thin">
        <color rgb="002F6B36"/>
      </right>
    </border>
    <border>
      <left/>
      <right style="thin">
        <color rgb="002F6B36"/>
      </right>
      <top/>
      <bottom/>
      <diagonal/>
    </border>
    <border>
      <left style="thin">
        <color rgb="002F6B36"/>
      </left>
      <right style="thin">
        <color rgb="002F6B36"/>
      </right>
      <bottom style="thin">
        <color rgb="002F6B36"/>
      </bottom>
    </border>
    <border>
      <left/>
      <right style="thin">
        <color rgb="002F6B36"/>
      </right>
      <top/>
      <bottom style="thin">
        <color rgb="002F6B36"/>
      </bottom>
      <diagonal/>
    </border>
    <border>
      <left style="thin">
        <color rgb="00E1E5EA"/>
      </left>
      <top style="thin">
        <color rgb="00E1E5EA"/>
      </top>
    </border>
    <border>
      <top style="thin">
        <color rgb="00E1E5EA"/>
      </top>
    </border>
    <border>
      <right style="thin">
        <color rgb="00E1E5EA"/>
      </right>
      <top style="thin">
        <color rgb="00E1E5EA"/>
      </top>
    </border>
    <border>
      <left style="thin">
        <color rgb="00E1E5EA"/>
      </left>
      <bottom style="thin">
        <color rgb="00E1E5EA"/>
      </bottom>
    </border>
    <border>
      <bottom style="thin">
        <color rgb="00E1E5EA"/>
      </bottom>
    </border>
    <border>
      <right style="thin">
        <color rgb="00E1E5EA"/>
      </right>
      <bottom style="thin">
        <color rgb="00E1E5EA"/>
      </bottom>
    </border>
    <border>
      <left/>
      <right/>
      <top style="thin">
        <color rgb="00E1E5EA"/>
      </top>
      <bottom/>
      <diagonal/>
    </border>
    <border>
      <left/>
      <right style="thin">
        <color rgb="00E1E5EA"/>
      </right>
      <top style="thin">
        <color rgb="00E1E5EA"/>
      </top>
      <bottom/>
      <diagonal/>
    </border>
    <border>
      <left style="thin">
        <color rgb="00E1E5EA"/>
      </left>
      <right style="thin">
        <color rgb="00E1E5EA"/>
      </right>
      <bottom style="thin">
        <color rgb="00E1E5EA"/>
      </bottom>
    </border>
    <border>
      <left/>
      <right style="thin">
        <color rgb="00E1E5EA"/>
      </right>
      <top/>
      <bottom/>
      <diagonal/>
    </border>
    <border>
      <left/>
      <right/>
      <top/>
      <bottom style="thin">
        <color rgb="00E1E5EA"/>
      </bottom>
      <diagonal/>
    </border>
    <border>
      <left/>
      <right style="thin">
        <color rgb="00E1E5EA"/>
      </right>
      <top/>
      <bottom style="thin">
        <color rgb="00E1E5EA"/>
      </bottom>
      <diagonal/>
    </border>
    <border>
      <left style="thin">
        <color rgb="00E1E5EA"/>
      </left>
      <top style="thin">
        <color rgb="00E1E5EA"/>
      </top>
      <bottom style="thin">
        <color rgb="00E1E5EA"/>
      </bottom>
    </border>
    <border>
      <top style="thin">
        <color rgb="00E1E5EA"/>
      </top>
      <bottom style="thin">
        <color rgb="00E1E5EA"/>
      </bottom>
    </border>
    <border>
      <right style="thin">
        <color rgb="00E1E5EA"/>
      </right>
      <top style="thin">
        <color rgb="00E1E5EA"/>
      </top>
      <bottom style="thin">
        <color rgb="00E1E5EA"/>
      </bottom>
    </border>
    <border>
      <left/>
      <right/>
      <top style="thin">
        <color rgb="00E1E5EA"/>
      </top>
      <bottom style="thin">
        <color rgb="00E1E5EA"/>
      </bottom>
      <diagonal/>
    </border>
    <border>
      <left/>
      <right style="thin">
        <color rgb="00E1E5EA"/>
      </right>
      <top style="thin">
        <color rgb="00E1E5EA"/>
      </top>
      <bottom style="thin">
        <color rgb="00E1E5EA"/>
      </bottom>
      <diagonal/>
    </border>
    <border>
      <left style="thin">
        <color rgb="00E1E5EA"/>
      </left>
    </border>
    <border/>
    <border>
      <right style="thin">
        <color rgb="00E1E5EA"/>
      </right>
    </border>
  </borders>
  <cellStyleXfs count="1">
    <xf numFmtId="0" fontId="0" fillId="0" borderId="0"/>
  </cellStyleXfs>
  <cellXfs count="111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0" fillId="3" borderId="0" pivotButton="0" quotePrefix="0" xfId="0"/>
    <xf numFmtId="0" fontId="0" fillId="4" borderId="1" pivotButton="0" quotePrefix="0" xfId="0"/>
    <xf numFmtId="0" fontId="0" fillId="4" borderId="2" pivotButton="0" quotePrefix="0" xfId="0"/>
    <xf numFmtId="0" fontId="0" fillId="5" borderId="11" pivotButton="0" quotePrefix="0" xfId="0"/>
    <xf numFmtId="0" fontId="0" fillId="5" borderId="12" pivotButton="0" quotePrefix="0" xfId="0"/>
    <xf numFmtId="0" fontId="0" fillId="6" borderId="21" pivotButton="0" quotePrefix="0" xfId="0"/>
    <xf numFmtId="0" fontId="0" fillId="6" borderId="22" pivotButton="0" quotePrefix="0" xfId="0"/>
    <xf numFmtId="0" fontId="3" fillId="4" borderId="7" applyAlignment="1" pivotButton="0" quotePrefix="0" xfId="0">
      <alignment horizontal="center" vertical="center"/>
    </xf>
    <xf numFmtId="0" fontId="0" fillId="0" borderId="8" pivotButton="0" quotePrefix="0" xfId="0"/>
    <xf numFmtId="0" fontId="5" fillId="5" borderId="17" applyAlignment="1" pivotButton="0" quotePrefix="0" xfId="0">
      <alignment horizontal="center" vertical="center"/>
    </xf>
    <xf numFmtId="0" fontId="0" fillId="0" borderId="18" pivotButton="0" quotePrefix="0" xfId="0"/>
    <xf numFmtId="0" fontId="7" fillId="6" borderId="27" applyAlignment="1" pivotButton="0" quotePrefix="0" xfId="0">
      <alignment horizontal="center" vertical="center"/>
    </xf>
    <xf numFmtId="0" fontId="0" fillId="0" borderId="28" pivotButton="0" quotePrefix="0" xfId="0"/>
    <xf numFmtId="0" fontId="4" fillId="4" borderId="9" applyAlignment="1" pivotButton="0" quotePrefix="0" xfId="0">
      <alignment horizontal="center" vertical="center"/>
    </xf>
    <xf numFmtId="0" fontId="0" fillId="0" borderId="10" pivotButton="0" quotePrefix="0" xfId="0"/>
    <xf numFmtId="0" fontId="6" fillId="5" borderId="19" applyAlignment="1" pivotButton="0" quotePrefix="0" xfId="0">
      <alignment horizontal="center" vertical="center"/>
    </xf>
    <xf numFmtId="0" fontId="0" fillId="0" borderId="20" pivotButton="0" quotePrefix="0" xfId="0"/>
    <xf numFmtId="0" fontId="8" fillId="6" borderId="29" applyAlignment="1" pivotButton="0" quotePrefix="0" xfId="0">
      <alignment horizontal="center" vertical="center"/>
    </xf>
    <xf numFmtId="0" fontId="0" fillId="0" borderId="30" pivotButton="0" quotePrefix="0" xfId="0"/>
    <xf numFmtId="0" fontId="0" fillId="7" borderId="31" pivotButton="0" quotePrefix="0" xfId="0"/>
    <xf numFmtId="0" fontId="0" fillId="7" borderId="32" pivotButton="0" quotePrefix="0" xfId="0"/>
    <xf numFmtId="0" fontId="0" fillId="8" borderId="41" pivotButton="0" quotePrefix="0" xfId="0"/>
    <xf numFmtId="0" fontId="0" fillId="8" borderId="42" pivotButton="0" quotePrefix="0" xfId="0"/>
    <xf numFmtId="0" fontId="9" fillId="7" borderId="37" applyAlignment="1" pivotButton="0" quotePrefix="0" xfId="0">
      <alignment horizontal="center" vertical="center"/>
    </xf>
    <xf numFmtId="0" fontId="0" fillId="0" borderId="38" pivotButton="0" quotePrefix="0" xfId="0"/>
    <xf numFmtId="0" fontId="11" fillId="8" borderId="47" applyAlignment="1" pivotButton="0" quotePrefix="0" xfId="0">
      <alignment horizontal="center" vertical="center"/>
    </xf>
    <xf numFmtId="0" fontId="0" fillId="0" borderId="48" pivotButton="0" quotePrefix="0" xfId="0"/>
    <xf numFmtId="0" fontId="10" fillId="7" borderId="39" applyAlignment="1" pivotButton="0" quotePrefix="0" xfId="0">
      <alignment horizontal="center" vertical="center"/>
    </xf>
    <xf numFmtId="0" fontId="0" fillId="0" borderId="40" pivotButton="0" quotePrefix="0" xfId="0"/>
    <xf numFmtId="0" fontId="12" fillId="8" borderId="49" applyAlignment="1" pivotButton="0" quotePrefix="0" xfId="0">
      <alignment horizontal="center" vertical="center"/>
    </xf>
    <xf numFmtId="0" fontId="0" fillId="0" borderId="50" pivotButton="0" quotePrefix="0" xfId="0"/>
    <xf numFmtId="0" fontId="13" fillId="2" borderId="0" applyAlignment="1" pivotButton="0" quotePrefix="0" xfId="0">
      <alignment horizontal="left" vertical="center"/>
    </xf>
    <xf numFmtId="0" fontId="14" fillId="2" borderId="0" applyAlignment="1" pivotButton="0" quotePrefix="0" xfId="0">
      <alignment horizontal="left" vertical="center"/>
    </xf>
    <xf numFmtId="0" fontId="0" fillId="9" borderId="0" pivotButton="0" quotePrefix="0" xfId="0"/>
    <xf numFmtId="0" fontId="0" fillId="10" borderId="0" pivotButton="0" quotePrefix="0" xfId="0"/>
    <xf numFmtId="0" fontId="15" fillId="11" borderId="51" applyAlignment="1" pivotButton="0" quotePrefix="0" xfId="0">
      <alignment horizontal="left" vertical="center"/>
    </xf>
    <xf numFmtId="0" fontId="16" fillId="11" borderId="53" applyAlignment="1" pivotButton="0" quotePrefix="0" xfId="0">
      <alignment horizontal="right" vertical="center"/>
    </xf>
    <xf numFmtId="0" fontId="0" fillId="0" borderId="57" pivotButton="0" quotePrefix="0" xfId="0"/>
    <xf numFmtId="0" fontId="0" fillId="0" borderId="58" pivotButton="0" quotePrefix="0" xfId="0"/>
    <xf numFmtId="0" fontId="18" fillId="11" borderId="53" applyAlignment="1" pivotButton="0" quotePrefix="0" xfId="0">
      <alignment horizontal="right" vertical="center"/>
    </xf>
    <xf numFmtId="0" fontId="17" fillId="11" borderId="59" applyAlignment="1" pivotButton="0" quotePrefix="0" xfId="0">
      <alignment horizontal="left" vertical="center" wrapText="1"/>
    </xf>
    <xf numFmtId="0" fontId="0" fillId="0" borderId="61" pivotButton="0" quotePrefix="0" xfId="0"/>
    <xf numFmtId="0" fontId="0" fillId="0" borderId="62" pivotButton="0" quotePrefix="0" xfId="0"/>
    <xf numFmtId="0" fontId="19" fillId="2" borderId="0" applyAlignment="1" pivotButton="0" quotePrefix="0" xfId="0">
      <alignment horizontal="left" vertical="center"/>
    </xf>
    <xf numFmtId="0" fontId="20" fillId="2" borderId="0" applyAlignment="1" pivotButton="0" quotePrefix="0" xfId="0">
      <alignment horizontal="right" vertical="center"/>
    </xf>
    <xf numFmtId="0" fontId="0" fillId="12" borderId="0" pivotButton="0" quotePrefix="0" xfId="0"/>
    <xf numFmtId="0" fontId="21" fillId="11" borderId="63" applyAlignment="1" pivotButton="0" quotePrefix="0" xfId="0">
      <alignment horizontal="left" vertical="center"/>
    </xf>
    <xf numFmtId="0" fontId="22" fillId="11" borderId="64" applyAlignment="1" pivotButton="0" quotePrefix="0" xfId="0">
      <alignment horizontal="left" vertical="center" wrapText="1"/>
    </xf>
    <xf numFmtId="0" fontId="0" fillId="0" borderId="66" pivotButton="0" quotePrefix="0" xfId="0"/>
    <xf numFmtId="0" fontId="18" fillId="11" borderId="65" applyAlignment="1" pivotButton="0" quotePrefix="0" xfId="0">
      <alignment horizontal="right" vertical="center"/>
    </xf>
    <xf numFmtId="0" fontId="0" fillId="0" borderId="67" pivotButton="0" quotePrefix="0" xfId="0"/>
    <xf numFmtId="0" fontId="23" fillId="11" borderId="65" applyAlignment="1" pivotButton="0" quotePrefix="0" xfId="0">
      <alignment horizontal="right" vertical="center"/>
    </xf>
    <xf numFmtId="0" fontId="24" fillId="2" borderId="0" applyAlignment="1" pivotButton="0" quotePrefix="0" xfId="0">
      <alignment horizontal="left" vertical="center"/>
    </xf>
    <xf numFmtId="0" fontId="25" fillId="2" borderId="0" applyAlignment="1" pivotButton="0" quotePrefix="0" xfId="0">
      <alignment horizontal="right" vertical="center"/>
    </xf>
    <xf numFmtId="0" fontId="14" fillId="11" borderId="51" applyAlignment="1" pivotButton="0" quotePrefix="0" xfId="0">
      <alignment horizontal="left" vertical="center"/>
    </xf>
    <xf numFmtId="0" fontId="26" fillId="11" borderId="52" applyAlignment="1" pivotButton="0" quotePrefix="0" xfId="0">
      <alignment horizontal="left" vertical="center" wrapText="1"/>
    </xf>
    <xf numFmtId="0" fontId="27" fillId="11" borderId="54" applyAlignment="1" pivotButton="0" quotePrefix="0" xfId="0">
      <alignment horizontal="left" vertical="center"/>
    </xf>
    <xf numFmtId="0" fontId="28" fillId="11" borderId="56" applyAlignment="1" pivotButton="0" quotePrefix="0" xfId="0">
      <alignment horizontal="left" vertical="center" wrapText="1"/>
    </xf>
    <xf numFmtId="0" fontId="29" fillId="11" borderId="51" applyAlignment="1" pivotButton="0" quotePrefix="0" xfId="0">
      <alignment horizontal="left" vertical="center"/>
    </xf>
    <xf numFmtId="0" fontId="30" fillId="2" borderId="0" applyAlignment="1" pivotButton="0" quotePrefix="0" xfId="0">
      <alignment horizontal="left" vertical="center"/>
    </xf>
    <xf numFmtId="0" fontId="31" fillId="2" borderId="0" applyAlignment="1" pivotButton="0" quotePrefix="0" xfId="0">
      <alignment horizontal="left" vertical="center"/>
    </xf>
    <xf numFmtId="0" fontId="0" fillId="9" borderId="51" pivotButton="0" quotePrefix="0" xfId="0"/>
    <xf numFmtId="0" fontId="32" fillId="11" borderId="52" applyAlignment="1" pivotButton="0" quotePrefix="0" xfId="0">
      <alignment horizontal="left" vertical="center"/>
    </xf>
    <xf numFmtId="0" fontId="6" fillId="5" borderId="52" applyAlignment="1" pivotButton="0" quotePrefix="0" xfId="0">
      <alignment horizontal="center" vertical="center"/>
    </xf>
    <xf numFmtId="0" fontId="0" fillId="5" borderId="57" pivotButton="0" quotePrefix="0" xfId="0"/>
    <xf numFmtId="0" fontId="6" fillId="11" borderId="53" applyAlignment="1" pivotButton="0" quotePrefix="0" xfId="0">
      <alignment horizontal="right" vertical="center"/>
    </xf>
    <xf numFmtId="0" fontId="0" fillId="0" borderId="68" pivotButton="0" quotePrefix="0" xfId="0"/>
    <xf numFmtId="0" fontId="33" fillId="11" borderId="70" applyAlignment="1" pivotButton="0" quotePrefix="0" xfId="0">
      <alignment horizontal="left" vertical="center" wrapText="1"/>
    </xf>
    <xf numFmtId="0" fontId="0" fillId="0" borderId="60" pivotButton="0" quotePrefix="0" xfId="0"/>
    <xf numFmtId="0" fontId="34" fillId="11" borderId="70" applyAlignment="1" pivotButton="0" quotePrefix="0" xfId="0">
      <alignment horizontal="left" vertical="center"/>
    </xf>
    <xf numFmtId="0" fontId="35" fillId="11" borderId="70" applyAlignment="1" pivotButton="0" quotePrefix="0" xfId="0">
      <alignment horizontal="left" vertical="center" wrapText="1"/>
    </xf>
    <xf numFmtId="0" fontId="22" fillId="11" borderId="70" applyAlignment="1" pivotButton="0" quotePrefix="0" xfId="0">
      <alignment horizontal="left" vertical="center" wrapText="1"/>
    </xf>
    <xf numFmtId="0" fontId="36" fillId="11" borderId="70" applyAlignment="1" pivotButton="0" quotePrefix="0" xfId="0">
      <alignment horizontal="left" vertical="center" wrapText="1"/>
    </xf>
    <xf numFmtId="0" fontId="0" fillId="0" borderId="54" pivotButton="0" quotePrefix="0" xfId="0"/>
    <xf numFmtId="0" fontId="27" fillId="11" borderId="56" applyAlignment="1" pivotButton="0" quotePrefix="0" xfId="0">
      <alignment horizontal="left" vertical="center"/>
    </xf>
    <xf numFmtId="0" fontId="0" fillId="13" borderId="51" pivotButton="0" quotePrefix="0" xfId="0"/>
    <xf numFmtId="0" fontId="8" fillId="6" borderId="52" applyAlignment="1" pivotButton="0" quotePrefix="0" xfId="0">
      <alignment horizontal="center" vertical="center"/>
    </xf>
    <xf numFmtId="0" fontId="0" fillId="6" borderId="57" pivotButton="0" quotePrefix="0" xfId="0"/>
    <xf numFmtId="0" fontId="0" fillId="10" borderId="51" pivotButton="0" quotePrefix="0" xfId="0"/>
    <xf numFmtId="0" fontId="10" fillId="7" borderId="52" applyAlignment="1" pivotButton="0" quotePrefix="0" xfId="0">
      <alignment horizontal="center" vertical="center"/>
    </xf>
    <xf numFmtId="0" fontId="0" fillId="7" borderId="57" pivotButton="0" quotePrefix="0" xfId="0"/>
    <xf numFmtId="0" fontId="37" fillId="2" borderId="0" applyAlignment="1" pivotButton="0" quotePrefix="0" xfId="0">
      <alignment horizontal="left" vertical="center"/>
    </xf>
    <xf numFmtId="0" fontId="36" fillId="2" borderId="0" applyAlignment="1" pivotButton="0" quotePrefix="0" xfId="0">
      <alignment horizontal="right" vertical="center"/>
    </xf>
    <xf numFmtId="0" fontId="0" fillId="14" borderId="0" pivotButton="0" quotePrefix="0" xfId="0"/>
    <xf numFmtId="0" fontId="10" fillId="11" borderId="53" applyAlignment="1" pivotButton="0" quotePrefix="0" xfId="0">
      <alignment horizontal="right" vertical="center"/>
    </xf>
    <xf numFmtId="0" fontId="38" fillId="11" borderId="53" applyAlignment="1" pivotButton="0" quotePrefix="0" xfId="0">
      <alignment horizontal="right" vertical="center"/>
    </xf>
    <xf numFmtId="0" fontId="39" fillId="2" borderId="0" applyAlignment="1" pivotButton="0" quotePrefix="0" xfId="0">
      <alignment horizontal="left" vertical="center"/>
    </xf>
    <xf numFmtId="0" fontId="40" fillId="2" borderId="0" applyAlignment="1" pivotButton="0" quotePrefix="0" xfId="0">
      <alignment horizontal="right" vertical="center"/>
    </xf>
    <xf numFmtId="0" fontId="0" fillId="15" borderId="0" pivotButton="0" quotePrefix="0" xfId="0"/>
    <xf numFmtId="0" fontId="12" fillId="8" borderId="52" applyAlignment="1" pivotButton="0" quotePrefix="0" xfId="0">
      <alignment horizontal="center" vertical="center"/>
    </xf>
    <xf numFmtId="0" fontId="0" fillId="8" borderId="57" pivotButton="0" quotePrefix="0" xfId="0"/>
    <xf numFmtId="0" fontId="12" fillId="11" borderId="53" applyAlignment="1" pivotButton="0" quotePrefix="0" xfId="0">
      <alignment horizontal="right" vertical="center"/>
    </xf>
    <xf numFmtId="0" fontId="41" fillId="11" borderId="70" applyAlignment="1" pivotButton="0" quotePrefix="0" xfId="0">
      <alignment horizontal="left" vertical="center" wrapText="1"/>
    </xf>
    <xf numFmtId="0" fontId="2" fillId="11" borderId="70" applyAlignment="1" pivotButton="0" quotePrefix="0" xfId="0">
      <alignment horizontal="left" vertical="center" wrapText="1"/>
    </xf>
    <xf numFmtId="0" fontId="32" fillId="11" borderId="70" applyAlignment="1" pivotButton="0" quotePrefix="0" xfId="0">
      <alignment horizontal="left" vertical="center" wrapText="1"/>
    </xf>
    <xf numFmtId="0" fontId="42" fillId="3" borderId="0" applyAlignment="1" pivotButton="0" quotePrefix="0" xfId="0">
      <alignment horizontal="center" vertical="center" wrapText="1"/>
    </xf>
    <xf numFmtId="0" fontId="43" fillId="0" borderId="55" applyAlignment="1" pivotButton="0" quotePrefix="0" xfId="0">
      <alignment vertical="top"/>
    </xf>
    <xf numFmtId="164" fontId="43" fillId="0" borderId="55" applyAlignment="1" pivotButton="0" quotePrefix="0" xfId="0">
      <alignment vertical="top"/>
    </xf>
    <xf numFmtId="0" fontId="43" fillId="0" borderId="55" applyAlignment="1" pivotButton="0" quotePrefix="0" xfId="0">
      <alignment vertical="top" wrapText="1"/>
    </xf>
    <xf numFmtId="164" fontId="43" fillId="0" borderId="55" applyAlignment="1" pivotButton="0" quotePrefix="0" xfId="0">
      <alignment vertical="top" wrapText="1"/>
    </xf>
    <xf numFmtId="0" fontId="17" fillId="0" borderId="55" applyAlignment="1" pivotButton="0" quotePrefix="0" xfId="0">
      <alignment horizontal="left" vertical="center"/>
    </xf>
    <xf numFmtId="0" fontId="44" fillId="0" borderId="55" applyAlignment="1" pivotButton="0" quotePrefix="0" xfId="0">
      <alignment horizontal="left" vertical="center"/>
    </xf>
    <xf numFmtId="0" fontId="45" fillId="0" borderId="55" applyAlignment="1" pivotButton="0" quotePrefix="0" xfId="0">
      <alignment horizontal="left" vertical="center"/>
    </xf>
    <xf numFmtId="0" fontId="45" fillId="0" borderId="55" applyAlignment="1" pivotButton="0" quotePrefix="0" xfId="0">
      <alignment horizontal="center" vertical="center"/>
    </xf>
    <xf numFmtId="0" fontId="45" fillId="0" borderId="55" applyAlignment="1" pivotButton="0" quotePrefix="0" xfId="0">
      <alignment horizontal="left" vertical="center" wrapText="1"/>
    </xf>
    <xf numFmtId="0" fontId="17" fillId="0" borderId="55" applyAlignment="1" pivotButton="0" quotePrefix="0" xfId="0">
      <alignment horizontal="left" vertical="center" wrapText="1"/>
    </xf>
    <xf numFmtId="0" fontId="44" fillId="0" borderId="55" applyAlignment="1" pivotButton="0" quotePrefix="0" xfId="0">
      <alignment horizontal="center" vertical="center"/>
    </xf>
  </cellXfs>
  <cellStyles count="1">
    <cellStyle name="Normal" xfId="0" builtinId="0" hidden="0"/>
  </cellStyles>
  <dxfs count="3">
    <dxf>
      <font>
        <color rgb="00B42318"/>
        <sz val="9.5"/>
      </font>
      <fill>
        <patternFill patternType="solid">
          <fgColor rgb="00FDECEA"/>
        </patternFill>
      </fill>
    </dxf>
    <dxf>
      <fill>
        <patternFill patternType="solid">
          <fgColor rgb="00FDF5E4"/>
        </patternFill>
      </fill>
    </dxf>
    <dxf>
      <font>
        <color rgb="008B9099"/>
        <sz val="9.5"/>
      </font>
      <fill>
        <patternFill patternType="solid">
          <fgColor rgb="00F0F2F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B42318"/>
    <outlinePr summaryBelow="1" summaryRight="1"/>
    <pageSetUpPr/>
  </sheetPr>
  <dimension ref="A1:K9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" customWidth="1" min="2" max="2"/>
    <col width="15.5" customWidth="1" min="3" max="3"/>
    <col width="15.5" customWidth="1" min="4" max="4"/>
    <col width="15.5" customWidth="1" min="5" max="5"/>
    <col width="15.5" customWidth="1" min="6" max="6"/>
    <col width="15.5" customWidth="1" min="7" max="7"/>
    <col width="15.5" customWidth="1" min="8" max="8"/>
    <col width="15.5" customWidth="1" min="9" max="9"/>
    <col width="15.5" customWidth="1" min="10" max="10"/>
    <col width="2" customWidth="1" min="11" max="11"/>
  </cols>
  <sheetData>
    <row r="1" ht="36" customHeight="1">
      <c r="A1" s="1" t="n"/>
      <c r="B1" s="1" t="n"/>
      <c r="C1" s="2" t="inlineStr">
        <is>
          <t>ՕՐՎԱ ՊԱՏԿԵՐ</t>
        </is>
      </c>
      <c r="K1" s="1" t="n"/>
    </row>
    <row r="2" ht="17" customHeight="1">
      <c r="A2" s="1" t="n"/>
      <c r="B2" s="1" t="n"/>
      <c r="C2" s="3" t="inlineStr">
        <is>
          <t>2026-09-09, չորեքշաբթի   ·   թվերը ինքնաշխատ են՝ ՍՏԱՑՎԱԾ և ՏՐՎԱԾ թերթերից</t>
        </is>
      </c>
      <c r="K2" s="1" t="n"/>
    </row>
    <row r="3" ht="2.5" customHeight="1">
      <c r="A3" s="1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1" t="n"/>
    </row>
    <row r="4" ht="12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</row>
    <row r="5" ht="7" customHeight="1">
      <c r="A5" s="1" t="n"/>
      <c r="B5" s="1" t="n"/>
      <c r="C5" s="5" t="n"/>
      <c r="D5" s="6" t="n"/>
      <c r="E5" s="7" t="n"/>
      <c r="F5" s="8" t="n"/>
      <c r="G5" s="7" t="n"/>
      <c r="H5" s="8" t="n"/>
      <c r="I5" s="9" t="n"/>
      <c r="J5" s="10" t="n"/>
      <c r="K5" s="1" t="n"/>
    </row>
    <row r="6" ht="32" customHeight="1">
      <c r="A6" s="1" t="n"/>
      <c r="B6" s="1" t="n"/>
      <c r="C6" s="11">
        <f>SUMPRODUCT(('ՍՏԱՑՎԱԾ'!A2:A31&lt;&gt;"")*('ՍՏԱՑՎԱԾ'!H2:H31&lt;&gt;"")*('ՍՏԱՑՎԱԾ'!H2:H31&lt;TODAY())*('ՍՏԱՑՎԱԾ'!J2:J31&lt;&gt;"Կատարված")*('ՍՏԱՑՎԱԾ'!J2:J31&lt;&gt;"Չեղարկված"))</f>
        <v/>
      </c>
      <c r="D6" s="12" t="n"/>
      <c r="E6" s="13">
        <f>SUMPRODUCT(('ՍՏԱՑՎԱԾ'!A2:A31&lt;&gt;"")*('ՍՏԱՑՎԱԾ'!H2:H31=TODAY())*('ՍՏԱՑՎԱԾ'!J2:J31&lt;&gt;"Կատարված")*('ՍՏԱՑՎԱԾ'!J2:J31&lt;&gt;"Չեղարկված"))</f>
        <v/>
      </c>
      <c r="F6" s="14" t="n"/>
      <c r="G6" s="13">
        <f>SUMPRODUCT(('ՍՏԱՑՎԱԾ'!A2:A31&lt;&gt;"")*('ՍՏԱՑՎԱԾ'!H2:H31=TODAY()+1)*('ՍՏԱՑՎԱԾ'!J2:J31&lt;&gt;"Կատարված")*('ՍՏԱՑՎԱԾ'!J2:J31&lt;&gt;"Չեղարկված"))</f>
        <v/>
      </c>
      <c r="H6" s="14" t="n"/>
      <c r="I6" s="15">
        <f>SUMPRODUCT(('ՍՏԱՑՎԱԾ'!A2:A31&lt;&gt;"")*('ՍՏԱՑՎԱԾ'!J2:J31&lt;&gt;"Կատարված")*('ՍՏԱՑՎԱԾ'!J2:J31&lt;&gt;"Չեղարկված"))</f>
        <v/>
      </c>
      <c r="J6" s="16" t="n"/>
      <c r="K6" s="1" t="n"/>
    </row>
    <row r="7" ht="19" customHeight="1">
      <c r="A7" s="1" t="n"/>
      <c r="B7" s="1" t="n"/>
      <c r="C7" s="17" t="inlineStr">
        <is>
          <t>ԺԱՄԿԵՏԱՆՑ</t>
        </is>
      </c>
      <c r="D7" s="18" t="n"/>
      <c r="E7" s="19" t="inlineStr">
        <is>
          <t>ԱՅՍՕՐ</t>
        </is>
      </c>
      <c r="F7" s="20" t="n"/>
      <c r="G7" s="19" t="inlineStr">
        <is>
          <t>ՎԱՂԸ</t>
        </is>
      </c>
      <c r="H7" s="20" t="n"/>
      <c r="I7" s="21" t="inlineStr">
        <is>
          <t>ԲԱՑ ԸՆԴԱՄԵՆԸ</t>
        </is>
      </c>
      <c r="J7" s="22" t="n"/>
      <c r="K7" s="1" t="n"/>
    </row>
    <row r="8" ht="8" customHeigh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</row>
    <row r="9" ht="7" customHeight="1">
      <c r="A9" s="1" t="n"/>
      <c r="B9" s="1" t="n"/>
      <c r="C9" s="23" t="n"/>
      <c r="D9" s="24" t="n"/>
      <c r="E9" s="23" t="n"/>
      <c r="F9" s="24" t="n"/>
      <c r="G9" s="25" t="n"/>
      <c r="H9" s="26" t="n"/>
      <c r="I9" s="23" t="n"/>
      <c r="J9" s="24" t="n"/>
      <c r="K9" s="1" t="n"/>
    </row>
    <row r="10" ht="32" customHeight="1">
      <c r="A10" s="1" t="n"/>
      <c r="B10" s="1" t="n"/>
      <c r="C10" s="27">
        <f>SUMPRODUCT(('ՏՐՎԱԾ'!A2:A10&lt;&gt;"")*('ՏՐՎԱԾ'!I2:I10&lt;&gt;"Կատարված")*('ՏՐՎԱԾ'!I2:I10&lt;&gt;"Չեղարկված"))</f>
        <v/>
      </c>
      <c r="D10" s="28" t="n"/>
      <c r="E10" s="27">
        <f>SUMPRODUCT(('ՏՐՎԱԾ'!K2:K10&lt;&gt;"")*('ՏՐՎԱԾ'!K2:K10&lt;=TODAY())*('ՏՐՎԱԾ'!I2:I10&lt;&gt;"Կատարված")*('ՏՐՎԱԾ'!I2:I10&lt;&gt;"Չեղարկված"))</f>
        <v/>
      </c>
      <c r="F10" s="28" t="n"/>
      <c r="G10" s="29">
        <f>COUNTIF('ՍՏԱՑՎԱԾ'!J2:J31,"Կատարված")</f>
        <v/>
      </c>
      <c r="H10" s="30" t="n"/>
      <c r="I10" s="27">
        <f>COUNTIF('ՀԱՐՑԵՐ'!E2:E20,"Բաց")</f>
        <v/>
      </c>
      <c r="J10" s="28" t="n"/>
      <c r="K10" s="1" t="n"/>
    </row>
    <row r="11" ht="19" customHeight="1">
      <c r="A11" s="1" t="n"/>
      <c r="B11" s="1" t="n"/>
      <c r="C11" s="31" t="inlineStr">
        <is>
          <t>ԵՍ ԵՄ ՍՊԱՍՈՒՄ</t>
        </is>
      </c>
      <c r="D11" s="32" t="n"/>
      <c r="E11" s="31" t="inlineStr">
        <is>
          <t>ԱՅՍՕՐ ՍՏՈՒԳԵԼՈՒ</t>
        </is>
      </c>
      <c r="F11" s="32" t="n"/>
      <c r="G11" s="33" t="inlineStr">
        <is>
          <t>ՓԱԿՎԱԾ</t>
        </is>
      </c>
      <c r="H11" s="34" t="n"/>
      <c r="I11" s="31" t="inlineStr">
        <is>
          <t>ԲԱՑ ՀԱՐՑ</t>
        </is>
      </c>
      <c r="J11" s="32" t="n"/>
      <c r="K11" s="1" t="n"/>
    </row>
    <row r="12" ht="16" customHeight="1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</row>
    <row r="13" ht="24" customHeight="1">
      <c r="A13" s="1" t="n"/>
      <c r="B13" s="1" t="n"/>
      <c r="C13" s="35" t="inlineStr">
        <is>
          <t>ԱՅՍՕՐ ԵՎ ԺԱՄԿԵՏԱՆՑ  ·  11</t>
        </is>
      </c>
      <c r="G13" s="36" t="inlineStr">
        <is>
          <t>ՎԱՂԸ  ·  8</t>
        </is>
      </c>
      <c r="K13" s="1" t="n"/>
    </row>
    <row r="14" ht="1.5" customHeight="1">
      <c r="A14" s="1" t="n"/>
      <c r="B14" s="1" t="n"/>
      <c r="C14" s="37" t="n"/>
      <c r="D14" s="37" t="n"/>
      <c r="E14" s="37" t="n"/>
      <c r="F14" s="37" t="n"/>
      <c r="G14" s="38" t="n"/>
      <c r="H14" s="38" t="n"/>
      <c r="I14" s="38" t="n"/>
      <c r="J14" s="38" t="n"/>
      <c r="K14" s="1" t="n"/>
    </row>
    <row r="15" ht="5" customHeight="1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</row>
    <row r="16" ht="13" customHeight="1">
      <c r="A16" s="1" t="n"/>
      <c r="B16" s="1" t="n"/>
      <c r="C16" s="39" t="inlineStr">
        <is>
          <t>07-03</t>
        </is>
      </c>
      <c r="D16" s="40" t="inlineStr">
        <is>
          <t>ԱՅՍՕՐ · 09-09</t>
        </is>
      </c>
      <c r="E16" s="41" t="n"/>
      <c r="F16" s="42" t="n"/>
      <c r="G16" s="39" t="inlineStr">
        <is>
          <t>07-02</t>
        </is>
      </c>
      <c r="H16" s="43" t="inlineStr">
        <is>
          <t>ՎԱՂԸ · 09-10 · հինգշաբթի</t>
        </is>
      </c>
      <c r="I16" s="41" t="n"/>
      <c r="J16" s="42" t="n"/>
      <c r="K16" s="1" t="n"/>
    </row>
    <row r="17" ht="28" customHeight="1">
      <c r="A17" s="1" t="n"/>
      <c r="B17" s="1" t="n"/>
      <c r="C17" s="44" t="inlineStr">
        <is>
          <t>AI/ծրագրի մաս 1՝ ներկայացնել որտեղ ինչ ես տեսնում</t>
        </is>
      </c>
      <c r="D17" s="45" t="n"/>
      <c r="E17" s="45" t="n"/>
      <c r="F17" s="46" t="n"/>
      <c r="G17" s="44" t="inlineStr">
        <is>
          <t>Ներկայացնել կոնկրետ վաճառքի ռազմավարություն՝ բոլոր ուղղություններով</t>
        </is>
      </c>
      <c r="H17" s="45" t="n"/>
      <c r="I17" s="45" t="n"/>
      <c r="J17" s="46" t="n"/>
      <c r="K17" s="1" t="n"/>
    </row>
    <row r="18" ht="4" customHeight="1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</row>
    <row r="19" ht="13" customHeight="1">
      <c r="A19" s="1" t="n"/>
      <c r="B19" s="1" t="n"/>
      <c r="C19" s="39" t="inlineStr">
        <is>
          <t>07-06</t>
        </is>
      </c>
      <c r="D19" s="40" t="inlineStr">
        <is>
          <t>ԱՅՍՕՐ · 09-09</t>
        </is>
      </c>
      <c r="E19" s="41" t="n"/>
      <c r="F19" s="42" t="n"/>
      <c r="G19" s="39" t="inlineStr">
        <is>
          <t>07-08</t>
        </is>
      </c>
      <c r="H19" s="43" t="inlineStr">
        <is>
          <t>ՎԱՂԸ · 09-10 · հինգշաբթի</t>
        </is>
      </c>
      <c r="I19" s="41" t="n"/>
      <c r="J19" s="42" t="n"/>
      <c r="K19" s="1" t="n"/>
    </row>
    <row r="20" ht="28" customHeight="1">
      <c r="A20" s="1" t="n"/>
      <c r="B20" s="1" t="n"/>
      <c r="C20" s="44" t="inlineStr">
        <is>
          <t>Բիլինգի տարեկան roadmap-ի վերաբերյալ որոշում՝ ընդունո՞ւմ ենք, ինչ ենք փոխում</t>
        </is>
      </c>
      <c r="D20" s="45" t="n"/>
      <c r="E20" s="45" t="n"/>
      <c r="F20" s="46" t="n"/>
      <c r="G20" s="44" t="inlineStr">
        <is>
          <t>Ճշտել՝ հաստիքացուցակը ե՞րբ է ուժի մեջ մտնում (հոկտեմբերի 1-ից)</t>
        </is>
      </c>
      <c r="H20" s="45" t="n"/>
      <c r="I20" s="45" t="n"/>
      <c r="J20" s="46" t="n"/>
      <c r="K20" s="1" t="n"/>
    </row>
    <row r="21" ht="4" customHeight="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</row>
    <row r="22" ht="13" customHeight="1">
      <c r="A22" s="1" t="n"/>
      <c r="B22" s="1" t="n"/>
      <c r="C22" s="39" t="inlineStr">
        <is>
          <t>07-09</t>
        </is>
      </c>
      <c r="D22" s="40" t="inlineStr">
        <is>
          <t>ԱՅՍՕՐ · 09-09</t>
        </is>
      </c>
      <c r="E22" s="41" t="n"/>
      <c r="F22" s="42" t="n"/>
      <c r="G22" s="39" t="inlineStr">
        <is>
          <t>07-13</t>
        </is>
      </c>
      <c r="H22" s="43" t="inlineStr">
        <is>
          <t>ՎԱՂԸ · 09-10 · հինգշաբթի</t>
        </is>
      </c>
      <c r="I22" s="41" t="n"/>
      <c r="J22" s="42" t="n"/>
      <c r="K22" s="1" t="n"/>
    </row>
    <row r="23" ht="28" customHeight="1">
      <c r="A23" s="1" t="n"/>
      <c r="B23" s="1" t="n"/>
      <c r="C23" s="44" t="inlineStr">
        <is>
          <t>Pull անել main-ից և նայել push արածը</t>
        </is>
      </c>
      <c r="D23" s="45" t="n"/>
      <c r="E23" s="45" t="n"/>
      <c r="F23" s="46" t="n"/>
      <c r="G23" s="44" t="inlineStr">
        <is>
          <t>Միկրոբիլի կարգավիճակների փաստաթղթի հաստատում</t>
        </is>
      </c>
      <c r="H23" s="45" t="n"/>
      <c r="I23" s="45" t="n"/>
      <c r="J23" s="46" t="n"/>
      <c r="K23" s="1" t="n"/>
    </row>
    <row r="24" ht="4" customHeight="1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</row>
    <row r="25" ht="13" customHeight="1">
      <c r="A25" s="1" t="n"/>
      <c r="B25" s="1" t="n"/>
      <c r="C25" s="39" t="inlineStr">
        <is>
          <t>07-12</t>
        </is>
      </c>
      <c r="D25" s="40" t="inlineStr">
        <is>
          <t>ԱՅՍՕՐ · 09-09</t>
        </is>
      </c>
      <c r="E25" s="41" t="n"/>
      <c r="F25" s="42" t="n"/>
      <c r="G25" s="39" t="inlineStr">
        <is>
          <t>08-02</t>
        </is>
      </c>
      <c r="H25" s="43" t="inlineStr">
        <is>
          <t>ՎԱՂԸ · 09-10 11:00 · հինգշաբթի</t>
        </is>
      </c>
      <c r="I25" s="41" t="n"/>
      <c r="J25" s="42" t="n"/>
      <c r="K25" s="1" t="n"/>
    </row>
    <row r="26" ht="28" customHeight="1">
      <c r="A26" s="1" t="n"/>
      <c r="B26" s="1" t="n"/>
      <c r="C26" s="44" t="inlineStr">
        <is>
          <t>pros/cons՝ պահո՞ւմ ենք քո համակարգը, թե բիլինգն ու Հայկի արածը դրա վրա չենք անում</t>
        </is>
      </c>
      <c r="D26" s="45" t="n"/>
      <c r="E26" s="45" t="n"/>
      <c r="F26" s="46" t="n"/>
      <c r="G26" s="44" t="inlineStr">
        <is>
          <t>Իրավաբանական անձանց բիլինգում ուղղել ՀՎՀՀ-ները</t>
        </is>
      </c>
      <c r="H26" s="45" t="n"/>
      <c r="I26" s="45" t="n"/>
      <c r="J26" s="46" t="n"/>
      <c r="K26" s="1" t="n"/>
    </row>
    <row r="27" ht="4" customHeight="1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</row>
    <row r="28" ht="13" customHeight="1">
      <c r="A28" s="1" t="n"/>
      <c r="B28" s="1" t="n"/>
      <c r="C28" s="39" t="inlineStr">
        <is>
          <t>08-01</t>
        </is>
      </c>
      <c r="D28" s="40" t="inlineStr">
        <is>
          <t>ԱՅՍՕՐ · 09-09</t>
        </is>
      </c>
      <c r="E28" s="41" t="n"/>
      <c r="F28" s="42" t="n"/>
      <c r="G28" s="39" t="inlineStr">
        <is>
          <t>09-02</t>
        </is>
      </c>
      <c r="H28" s="43" t="inlineStr">
        <is>
          <t>ՎԱՂԸ · 09-10 · հինգշաբթի</t>
        </is>
      </c>
      <c r="I28" s="41" t="n"/>
      <c r="J28" s="42" t="n"/>
      <c r="K28" s="1" t="n"/>
    </row>
    <row r="29" ht="28" customHeight="1">
      <c r="A29" s="1" t="n"/>
      <c r="B29" s="1" t="n"/>
      <c r="C29" s="44" t="inlineStr">
        <is>
          <t>Գրաֆիկ՝ երբ ինչ է ուղարկվելու</t>
        </is>
      </c>
      <c r="D29" s="45" t="n"/>
      <c r="E29" s="45" t="n"/>
      <c r="F29" s="46" t="n"/>
      <c r="G29" s="44" t="inlineStr">
        <is>
          <t>Հինգշաբթի ժողով՝ ՄԵՆԱԿ վաճառքի խթանման մասով</t>
        </is>
      </c>
      <c r="H29" s="45" t="n"/>
      <c r="I29" s="45" t="n"/>
      <c r="J29" s="46" t="n"/>
      <c r="K29" s="1" t="n"/>
    </row>
    <row r="30" ht="4" customHeight="1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</row>
    <row r="31" ht="13" customHeight="1">
      <c r="A31" s="1" t="n"/>
      <c r="B31" s="1" t="n"/>
      <c r="C31" s="39" t="inlineStr">
        <is>
          <t>08-03</t>
        </is>
      </c>
      <c r="D31" s="40" t="inlineStr">
        <is>
          <t>ԱՅՍՕՐ · 09-09</t>
        </is>
      </c>
      <c r="E31" s="41" t="n"/>
      <c r="F31" s="42" t="n"/>
      <c r="G31" s="39" t="inlineStr">
        <is>
          <t>09-05</t>
        </is>
      </c>
      <c r="H31" s="43" t="inlineStr">
        <is>
          <t>ՎԱՂԸ · 09-10 · հինգշաբթի</t>
        </is>
      </c>
      <c r="I31" s="41" t="n"/>
      <c r="J31" s="42" t="n"/>
      <c r="K31" s="1" t="n"/>
    </row>
    <row r="32" ht="28" customHeight="1">
      <c r="A32" s="1" t="n"/>
      <c r="B32" s="1" t="n"/>
      <c r="C32" s="44" t="inlineStr">
        <is>
          <t>Մագայի գործառույթների մանրամասն նկարագիրը՝ ինչ ցուցակներ է հանում</t>
        </is>
      </c>
      <c r="D32" s="45" t="n"/>
      <c r="E32" s="45" t="n"/>
      <c r="F32" s="46" t="n"/>
      <c r="G32" s="44" t="inlineStr">
        <is>
          <t>Churn-ի պրեդիքշն կետերը՝ համադրել թիմի փորձի հետ և ներկայացնել</t>
        </is>
      </c>
      <c r="H32" s="45" t="n"/>
      <c r="I32" s="45" t="n"/>
      <c r="J32" s="46" t="n"/>
      <c r="K32" s="1" t="n"/>
    </row>
    <row r="33" ht="4" customHeight="1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</row>
    <row r="34" ht="13" customHeight="1">
      <c r="A34" s="1" t="n"/>
      <c r="B34" s="1" t="n"/>
      <c r="C34" s="39" t="inlineStr">
        <is>
          <t>08-05</t>
        </is>
      </c>
      <c r="D34" s="40" t="inlineStr">
        <is>
          <t>ԱՅՍՕՐ · 09-09</t>
        </is>
      </c>
      <c r="E34" s="41" t="n"/>
      <c r="F34" s="42" t="n"/>
      <c r="G34" s="39" t="inlineStr">
        <is>
          <t>09-06</t>
        </is>
      </c>
      <c r="H34" s="43" t="inlineStr">
        <is>
          <t>ՎԱՂԸ · 09-10 · հինգշաբթի</t>
        </is>
      </c>
      <c r="I34" s="41" t="n"/>
      <c r="J34" s="42" t="n"/>
      <c r="K34" s="1" t="n"/>
    </row>
    <row r="35" ht="28" customHeight="1">
      <c r="A35" s="1" t="n"/>
      <c r="B35" s="1" t="n"/>
      <c r="C35" s="44" t="inlineStr">
        <is>
          <t>Պարզել՝ ինչու տեսուչները ծրագրով չեն օգտվում, և փակել հին դոստուպը</t>
        </is>
      </c>
      <c r="D35" s="45" t="n"/>
      <c r="E35" s="45" t="n"/>
      <c r="F35" s="46" t="n"/>
      <c r="G35" s="44" t="inlineStr">
        <is>
          <t>save-list-ը մշակել Անահիտի և Մագայի հետ</t>
        </is>
      </c>
      <c r="H35" s="45" t="n"/>
      <c r="I35" s="45" t="n"/>
      <c r="J35" s="46" t="n"/>
      <c r="K35" s="1" t="n"/>
    </row>
    <row r="36" ht="4" customHeigh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</row>
    <row r="37" ht="13" customHeight="1">
      <c r="A37" s="1" t="n"/>
      <c r="B37" s="1" t="n"/>
      <c r="C37" s="39" t="inlineStr">
        <is>
          <t>09-01</t>
        </is>
      </c>
      <c r="D37" s="40" t="inlineStr">
        <is>
          <t>ԱՅՍՕՐ · 09-09</t>
        </is>
      </c>
      <c r="E37" s="41" t="n"/>
      <c r="F37" s="42" t="n"/>
      <c r="G37" s="39" t="inlineStr">
        <is>
          <t>09-07</t>
        </is>
      </c>
      <c r="H37" s="43" t="inlineStr">
        <is>
          <t>ՎԱՂԸ · 09-10 · հինգշաբթի</t>
        </is>
      </c>
      <c r="I37" s="41" t="n"/>
      <c r="J37" s="42" t="n"/>
      <c r="K37" s="1" t="n"/>
    </row>
    <row r="38" ht="28" customHeight="1">
      <c r="A38" s="1" t="n"/>
      <c r="B38" s="1" t="n"/>
      <c r="C38" s="44" t="inlineStr">
        <is>
          <t>Վաճառքի ռազմավարությանը ավելացնել հեռավաճառքի օպերացիոն մանրամասնումը և կորպորատիվ բաժինը</t>
        </is>
      </c>
      <c r="D38" s="45" t="n"/>
      <c r="E38" s="45" t="n"/>
      <c r="F38" s="46" t="n"/>
      <c r="G38" s="44" t="inlineStr">
        <is>
          <t>Retention-ի հետևման համակարգը ֆորմալացնել</t>
        </is>
      </c>
      <c r="H38" s="45" t="n"/>
      <c r="I38" s="45" t="n"/>
      <c r="J38" s="46" t="n"/>
      <c r="K38" s="1" t="n"/>
    </row>
    <row r="39" ht="4" customHeight="1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</row>
    <row r="40" ht="13" customHeight="1">
      <c r="A40" s="1" t="n"/>
      <c r="B40" s="1" t="n"/>
      <c r="C40" s="39" t="inlineStr">
        <is>
          <t>09-03</t>
        </is>
      </c>
      <c r="D40" s="40" t="inlineStr">
        <is>
          <t>ԱՅՍՕՐ · 09-09</t>
        </is>
      </c>
      <c r="E40" s="41" t="n"/>
      <c r="F40" s="42" t="n"/>
      <c r="G40" s="1" t="n"/>
      <c r="H40" s="1" t="n"/>
      <c r="I40" s="1" t="n"/>
      <c r="J40" s="1" t="n"/>
      <c r="K40" s="1" t="n"/>
    </row>
    <row r="41" ht="28" customHeight="1">
      <c r="A41" s="1" t="n"/>
      <c r="B41" s="1" t="n"/>
      <c r="C41" s="44" t="inlineStr">
        <is>
          <t>Retention flow-ը փակել Ռիչի վրա և արտացոլել վաճառքի ռազմավարության փաստաթղթում</t>
        </is>
      </c>
      <c r="D41" s="45" t="n"/>
      <c r="E41" s="45" t="n"/>
      <c r="F41" s="46" t="n"/>
      <c r="G41" s="1" t="n"/>
      <c r="H41" s="1" t="n"/>
      <c r="I41" s="1" t="n"/>
      <c r="J41" s="1" t="n"/>
      <c r="K41" s="1" t="n"/>
    </row>
    <row r="42" ht="4" customHeight="1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</row>
    <row r="43" ht="13" customHeight="1">
      <c r="A43" s="1" t="n"/>
      <c r="B43" s="1" t="n"/>
      <c r="C43" s="39" t="inlineStr">
        <is>
          <t>09-04</t>
        </is>
      </c>
      <c r="D43" s="40" t="inlineStr">
        <is>
          <t>ԱՅՍՕՐ · 09-09</t>
        </is>
      </c>
      <c r="E43" s="41" t="n"/>
      <c r="F43" s="42" t="n"/>
      <c r="G43" s="1" t="n"/>
      <c r="H43" s="1" t="n"/>
      <c r="I43" s="1" t="n"/>
      <c r="J43" s="1" t="n"/>
      <c r="K43" s="1" t="n"/>
    </row>
    <row r="44" ht="28" customHeight="1">
      <c r="A44" s="1" t="n"/>
      <c r="B44" s="1" t="n"/>
      <c r="C44" s="44" t="inlineStr">
        <is>
          <t>Churn-ի ռիսկի սիգնալները վերանայել՝ ինչն է համարվում ռիսկ</t>
        </is>
      </c>
      <c r="D44" s="45" t="n"/>
      <c r="E44" s="45" t="n"/>
      <c r="F44" s="46" t="n"/>
      <c r="G44" s="1" t="n"/>
      <c r="H44" s="1" t="n"/>
      <c r="I44" s="1" t="n"/>
      <c r="J44" s="1" t="n"/>
      <c r="K44" s="1" t="n"/>
    </row>
    <row r="45" ht="4" customHeigh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</row>
    <row r="46" ht="13" customHeight="1">
      <c r="A46" s="1" t="n"/>
      <c r="B46" s="1" t="n"/>
      <c r="C46" s="39" t="inlineStr">
        <is>
          <t>09-09</t>
        </is>
      </c>
      <c r="D46" s="40" t="inlineStr">
        <is>
          <t>ԱՅՍՕՐ · 09-09</t>
        </is>
      </c>
      <c r="E46" s="41" t="n"/>
      <c r="F46" s="42" t="n"/>
      <c r="G46" s="1" t="n"/>
      <c r="H46" s="1" t="n"/>
      <c r="I46" s="1" t="n"/>
      <c r="J46" s="1" t="n"/>
      <c r="K46" s="1" t="n"/>
    </row>
    <row r="47" ht="28" customHeight="1">
      <c r="A47" s="1" t="n"/>
      <c r="B47" s="1" t="n"/>
      <c r="C47" s="44" t="inlineStr">
        <is>
          <t>Չըռնի պրեդիքշնի սիգնալների ընդլայնված ցանկ առաջարկել</t>
        </is>
      </c>
      <c r="D47" s="45" t="n"/>
      <c r="E47" s="45" t="n"/>
      <c r="F47" s="46" t="n"/>
      <c r="G47" s="1" t="n"/>
      <c r="H47" s="1" t="n"/>
      <c r="I47" s="1" t="n"/>
      <c r="J47" s="1" t="n"/>
      <c r="K47" s="1" t="n"/>
    </row>
    <row r="48" ht="4" customHeight="1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</row>
    <row r="49" ht="10" customHeigh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</row>
    <row r="50" ht="26" customHeight="1">
      <c r="A50" s="1" t="n"/>
      <c r="B50" s="1" t="n"/>
      <c r="C50" s="47" t="inlineStr">
        <is>
          <t>ՍՊԱՍՈՒՄ ԵՄ ՈՒՐԻՇԻՑ</t>
        </is>
      </c>
      <c r="I50" s="48" t="inlineStr">
        <is>
          <t>9</t>
        </is>
      </c>
      <c r="K50" s="1" t="n"/>
    </row>
    <row r="51" ht="1.5" customHeight="1">
      <c r="A51" s="1" t="n"/>
      <c r="B51" s="1" t="n"/>
      <c r="C51" s="49" t="n"/>
      <c r="D51" s="49" t="n"/>
      <c r="E51" s="49" t="n"/>
      <c r="F51" s="49" t="n"/>
      <c r="G51" s="49" t="n"/>
      <c r="H51" s="49" t="n"/>
      <c r="I51" s="49" t="n"/>
      <c r="J51" s="49" t="n"/>
      <c r="K51" s="1" t="n"/>
    </row>
    <row r="52" ht="6" customHeight="1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</row>
    <row r="53" ht="24" customHeight="1">
      <c r="A53" s="1" t="n"/>
      <c r="B53" s="1" t="n"/>
      <c r="C53" s="50" t="inlineStr">
        <is>
          <t>Մագա</t>
        </is>
      </c>
      <c r="D53" s="51" t="inlineStr">
        <is>
          <t>Գրել իր գործառույթների մանրամասն, քայլ առ քայլ նկարագիրը</t>
        </is>
      </c>
      <c r="E53" s="52" t="n"/>
      <c r="F53" s="52" t="n"/>
      <c r="G53" s="52" t="n"/>
      <c r="H53" s="52" t="n"/>
      <c r="I53" s="53" t="inlineStr">
        <is>
          <t>ԱՅՍՕՐ · 09-09</t>
        </is>
      </c>
      <c r="J53" s="54" t="n"/>
      <c r="K53" s="1" t="n"/>
    </row>
    <row r="54" ht="24" customHeight="1">
      <c r="A54" s="1" t="n"/>
      <c r="B54" s="1" t="n"/>
      <c r="C54" s="50" t="inlineStr">
        <is>
          <t>Ռիչ</t>
        </is>
      </c>
      <c r="D54" s="51" t="inlineStr">
        <is>
          <t>Հեռավաճառքի օպերացիոն կտորը՝ ինչ են անում, ոնց են անում, ինչ սկրիպտով</t>
        </is>
      </c>
      <c r="E54" s="52" t="n"/>
      <c r="F54" s="52" t="n"/>
      <c r="G54" s="52" t="n"/>
      <c r="H54" s="52" t="n"/>
      <c r="I54" s="53" t="inlineStr">
        <is>
          <t>ԱՅՍՕՐ · 09-09</t>
        </is>
      </c>
      <c r="J54" s="54" t="n"/>
      <c r="K54" s="1" t="n"/>
    </row>
    <row r="55" ht="24" customHeight="1">
      <c r="A55" s="1" t="n"/>
      <c r="B55" s="1" t="n"/>
      <c r="C55" s="50" t="inlineStr">
        <is>
          <t>Ռիչ</t>
        </is>
      </c>
      <c r="D55" s="51" t="inlineStr">
        <is>
          <t>Ստանձնել retention-ի flow-ը՝ Համոյի փոխարեն</t>
        </is>
      </c>
      <c r="E55" s="52" t="n"/>
      <c r="F55" s="52" t="n"/>
      <c r="G55" s="52" t="n"/>
      <c r="H55" s="52" t="n"/>
      <c r="I55" s="53" t="inlineStr">
        <is>
          <t>ԱՅՍՕՐ · 09-09</t>
        </is>
      </c>
      <c r="J55" s="54" t="n"/>
      <c r="K55" s="1" t="n"/>
    </row>
    <row r="56" ht="24" customHeight="1">
      <c r="A56" s="1" t="n"/>
      <c r="B56" s="1" t="n"/>
      <c r="C56" s="50" t="inlineStr">
        <is>
          <t>Մագա</t>
        </is>
      </c>
      <c r="D56" s="51" t="inlineStr">
        <is>
          <t>Բիլինգի տեխնիկական բնութագիրը տալ (ոչ մեթոդոլոգիա)</t>
        </is>
      </c>
      <c r="E56" s="52" t="n"/>
      <c r="F56" s="52" t="n"/>
      <c r="G56" s="52" t="n"/>
      <c r="H56" s="52" t="n"/>
      <c r="I56" s="53" t="inlineStr">
        <is>
          <t>ՎԱՂԸ · 09-10 · հինգշաբթի</t>
        </is>
      </c>
      <c r="J56" s="54" t="n"/>
      <c r="K56" s="1" t="n"/>
    </row>
    <row r="57" ht="24" customHeight="1">
      <c r="A57" s="1" t="n"/>
      <c r="B57" s="1" t="n"/>
      <c r="C57" s="50" t="inlineStr">
        <is>
          <t>Մագա</t>
        </is>
      </c>
      <c r="D57" s="51" t="inlineStr">
        <is>
          <t>Բերել բոլոր հնարավոր պատճառները՝ ինչու է ակտիվների քանակը իջնում ~300-ով, հետո բարձրանում</t>
        </is>
      </c>
      <c r="E57" s="52" t="n"/>
      <c r="F57" s="52" t="n"/>
      <c r="G57" s="52" t="n"/>
      <c r="H57" s="52" t="n"/>
      <c r="I57" s="53" t="inlineStr">
        <is>
          <t>ՎԱՂԸ · 09-10 · հինգշաբթի</t>
        </is>
      </c>
      <c r="J57" s="54" t="n"/>
      <c r="K57" s="1" t="n"/>
    </row>
    <row r="58" ht="24" customHeight="1">
      <c r="A58" s="1" t="n"/>
      <c r="B58" s="1" t="n"/>
      <c r="C58" s="50" t="inlineStr">
        <is>
          <t>Մագա</t>
        </is>
      </c>
      <c r="D58" s="51" t="inlineStr">
        <is>
          <t>Բոլոր իրավաբանական անձանց մոտ բիլինգում ուղղել ՀՎՀՀ-ն</t>
        </is>
      </c>
      <c r="E58" s="52" t="n"/>
      <c r="F58" s="52" t="n"/>
      <c r="G58" s="52" t="n"/>
      <c r="H58" s="52" t="n"/>
      <c r="I58" s="53" t="inlineStr">
        <is>
          <t>ՎԱՂԸ · 09-10 11:00 · հինգշաբթի</t>
        </is>
      </c>
      <c r="J58" s="54" t="n"/>
      <c r="K58" s="1" t="n"/>
    </row>
    <row r="59" ht="24" customHeight="1">
      <c r="A59" s="1" t="n"/>
      <c r="B59" s="1" t="n"/>
      <c r="C59" s="50" t="inlineStr">
        <is>
          <t>Անահիտ + Մագա</t>
        </is>
      </c>
      <c r="D59" s="51" t="inlineStr">
        <is>
          <t>save-list-ը մշակել՝ բաժանել և սկսել զանգերը</t>
        </is>
      </c>
      <c r="E59" s="52" t="n"/>
      <c r="F59" s="52" t="n"/>
      <c r="G59" s="52" t="n"/>
      <c r="H59" s="52" t="n"/>
      <c r="I59" s="53" t="inlineStr">
        <is>
          <t>ՎԱՂԸ · 09-10 · հինգշաբթի</t>
        </is>
      </c>
      <c r="J59" s="54" t="n"/>
      <c r="K59" s="1" t="n"/>
    </row>
    <row r="60" ht="24" customHeight="1">
      <c r="A60" s="1" t="n"/>
      <c r="B60" s="1" t="n"/>
      <c r="C60" s="50" t="inlineStr">
        <is>
          <t>Բոլոր ղեկավարներ</t>
        </is>
      </c>
      <c r="D60" s="51" t="inlineStr">
        <is>
          <t>JD-ները և որակավորման պահանջները նայել յուրաքանչյուրն իր մասով և ՕԿ տալ</t>
        </is>
      </c>
      <c r="E60" s="52" t="n"/>
      <c r="F60" s="52" t="n"/>
      <c r="G60" s="52" t="n"/>
      <c r="H60" s="52" t="n"/>
      <c r="I60" s="55" t="inlineStr">
        <is>
          <t>09-11 · ուրբ · 2 օր</t>
        </is>
      </c>
      <c r="J60" s="54" t="n"/>
      <c r="K60" s="1" t="n"/>
    </row>
    <row r="61" ht="24" customHeight="1">
      <c r="A61" s="1" t="n"/>
      <c r="B61" s="1" t="n"/>
      <c r="C61" s="50" t="inlineStr">
        <is>
          <t>Մագա</t>
        </is>
      </c>
      <c r="D61" s="51" t="inlineStr">
        <is>
          <t>Կարդալ բիլինգի հայերեն փաստաթղթերը և տալ եզրակացություն</t>
        </is>
      </c>
      <c r="E61" s="52" t="n"/>
      <c r="F61" s="52" t="n"/>
      <c r="G61" s="52" t="n"/>
      <c r="H61" s="52" t="n"/>
      <c r="I61" s="55" t="inlineStr">
        <is>
          <t>09-11 · ուրբ · 2 օր</t>
        </is>
      </c>
      <c r="J61" s="54" t="n"/>
      <c r="K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</row>
  </sheetData>
  <mergeCells count="78">
    <mergeCell ref="C6:D6"/>
    <mergeCell ref="C32:F32"/>
    <mergeCell ref="G32:J32"/>
    <mergeCell ref="C13:F13"/>
    <mergeCell ref="D28:F28"/>
    <mergeCell ref="D37:F37"/>
    <mergeCell ref="H22:J22"/>
    <mergeCell ref="H19:J19"/>
    <mergeCell ref="I58:J58"/>
    <mergeCell ref="D53:H53"/>
    <mergeCell ref="C26:F26"/>
    <mergeCell ref="C41:F41"/>
    <mergeCell ref="H31:J31"/>
    <mergeCell ref="C17:F17"/>
    <mergeCell ref="I6:J6"/>
    <mergeCell ref="C50:H50"/>
    <mergeCell ref="G20:J20"/>
    <mergeCell ref="G29:J29"/>
    <mergeCell ref="I61:J61"/>
    <mergeCell ref="D43:F43"/>
    <mergeCell ref="H16:J16"/>
    <mergeCell ref="I57:J57"/>
    <mergeCell ref="I54:J54"/>
    <mergeCell ref="G7:H7"/>
    <mergeCell ref="C1:J1"/>
    <mergeCell ref="I7:J7"/>
    <mergeCell ref="D57:H57"/>
    <mergeCell ref="D25:F25"/>
    <mergeCell ref="I56:J56"/>
    <mergeCell ref="G23:J23"/>
    <mergeCell ref="C2:J2"/>
    <mergeCell ref="G38:J38"/>
    <mergeCell ref="D55:H55"/>
    <mergeCell ref="I10:J10"/>
    <mergeCell ref="D31:F31"/>
    <mergeCell ref="D46:F46"/>
    <mergeCell ref="D40:F40"/>
    <mergeCell ref="I59:J59"/>
    <mergeCell ref="I60:J60"/>
    <mergeCell ref="D54:H54"/>
    <mergeCell ref="D60:H60"/>
    <mergeCell ref="G26:J26"/>
    <mergeCell ref="G35:J35"/>
    <mergeCell ref="G11:H11"/>
    <mergeCell ref="I11:J11"/>
    <mergeCell ref="D16:F16"/>
    <mergeCell ref="E6:F6"/>
    <mergeCell ref="C20:F20"/>
    <mergeCell ref="C29:F29"/>
    <mergeCell ref="C47:F47"/>
    <mergeCell ref="D58:H58"/>
    <mergeCell ref="D34:F34"/>
    <mergeCell ref="C44:F44"/>
    <mergeCell ref="G13:J13"/>
    <mergeCell ref="C7:D7"/>
    <mergeCell ref="E7:F7"/>
    <mergeCell ref="D22:F22"/>
    <mergeCell ref="H34:J34"/>
    <mergeCell ref="I50:J50"/>
    <mergeCell ref="D59:H59"/>
    <mergeCell ref="C23:F23"/>
    <mergeCell ref="C38:F38"/>
    <mergeCell ref="C10:D10"/>
    <mergeCell ref="E10:F10"/>
    <mergeCell ref="H28:J28"/>
    <mergeCell ref="G10:H10"/>
    <mergeCell ref="H37:J37"/>
    <mergeCell ref="G6:H6"/>
    <mergeCell ref="I53:J53"/>
    <mergeCell ref="D61:H61"/>
    <mergeCell ref="G17:J17"/>
    <mergeCell ref="C35:F35"/>
    <mergeCell ref="I55:J55"/>
    <mergeCell ref="C11:D11"/>
    <mergeCell ref="E11:F11"/>
    <mergeCell ref="D56:H56"/>
    <mergeCell ref="D19:F19"/>
    <mergeCell ref="H25:J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9A6A00"/>
    <outlinePr summaryBelow="1" summaryRight="1"/>
    <pageSetUpPr/>
  </sheetPr>
  <dimension ref="A1:K12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" customWidth="1" min="2" max="2"/>
    <col width="15.5" customWidth="1" min="3" max="3"/>
    <col width="15.5" customWidth="1" min="4" max="4"/>
    <col width="15.5" customWidth="1" min="5" max="5"/>
    <col width="15.5" customWidth="1" min="6" max="6"/>
    <col width="15.5" customWidth="1" min="7" max="7"/>
    <col width="15.5" customWidth="1" min="8" max="8"/>
    <col width="15.5" customWidth="1" min="9" max="9"/>
    <col width="15.5" customWidth="1" min="10" max="10"/>
    <col width="2" customWidth="1" min="11" max="11"/>
  </cols>
  <sheetData>
    <row r="1" ht="36" customHeight="1">
      <c r="A1" s="1" t="n"/>
      <c r="B1" s="1" t="n"/>
      <c r="C1" s="2" t="inlineStr">
        <is>
          <t>ՕՐՎԱ ՊԼԱՆ</t>
        </is>
      </c>
      <c r="K1" s="1" t="n"/>
    </row>
    <row r="2" ht="17" customHeight="1">
      <c r="A2" s="1" t="n"/>
      <c r="B2" s="1" t="n"/>
      <c r="C2" s="3" t="inlineStr">
        <is>
          <t>2026-09-09, չորեքշաբթի   ·   տպելու համար պատրաստ   ·   վերևից ներքև՝ ըստ հրատապության</t>
        </is>
      </c>
      <c r="K2" s="1" t="n"/>
    </row>
    <row r="3" ht="2.5" customHeight="1">
      <c r="A3" s="1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1" t="n"/>
    </row>
    <row r="4" ht="12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</row>
    <row r="5" ht="26" customHeight="1">
      <c r="A5" s="1" t="n"/>
      <c r="B5" s="1" t="n"/>
      <c r="C5" s="56" t="inlineStr">
        <is>
          <t>ԱՅՍՕՐ</t>
        </is>
      </c>
      <c r="I5" s="57" t="inlineStr">
        <is>
          <t>11</t>
        </is>
      </c>
      <c r="K5" s="1" t="n"/>
    </row>
    <row r="6" ht="1.5" customHeight="1">
      <c r="A6" s="1" t="n"/>
      <c r="B6" s="1" t="n"/>
      <c r="C6" s="38" t="n"/>
      <c r="D6" s="38" t="n"/>
      <c r="E6" s="38" t="n"/>
      <c r="F6" s="38" t="n"/>
      <c r="G6" s="38" t="n"/>
      <c r="H6" s="38" t="n"/>
      <c r="I6" s="38" t="n"/>
      <c r="J6" s="38" t="n"/>
      <c r="K6" s="1" t="n"/>
    </row>
    <row r="7" ht="6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</row>
    <row r="8" ht="30" customHeight="1">
      <c r="A8" s="1" t="n"/>
      <c r="B8" s="1" t="n"/>
      <c r="C8" s="58" t="inlineStr">
        <is>
          <t>☐  1</t>
        </is>
      </c>
      <c r="D8" s="59" t="inlineStr">
        <is>
          <t>AI/ծրագրի մաս 1՝ ներկայացնել որտեղ ինչ ես տեսնում</t>
        </is>
      </c>
      <c r="E8" s="41" t="n"/>
      <c r="F8" s="41" t="n"/>
      <c r="G8" s="41" t="n"/>
      <c r="H8" s="41" t="n"/>
      <c r="I8" s="43" t="inlineStr">
        <is>
          <t>ԱՅՍՕՐ · 09-09</t>
        </is>
      </c>
      <c r="J8" s="42" t="n"/>
      <c r="K8" s="1" t="n"/>
    </row>
    <row r="9" ht="22" customHeight="1">
      <c r="A9" s="1" t="n"/>
      <c r="B9" s="1" t="n"/>
      <c r="C9" s="60" t="inlineStr">
        <is>
          <t>07-03</t>
        </is>
      </c>
      <c r="D9" s="61" t="inlineStr">
        <is>
          <t>→  Ավարտել և ներկայացնել՝ կոնկրետ Հաուսի համար, ոչ ընդհանուր ծրագրի մասին</t>
        </is>
      </c>
      <c r="E9" s="45" t="n"/>
      <c r="F9" s="45" t="n"/>
      <c r="G9" s="45" t="n"/>
      <c r="H9" s="45" t="n"/>
      <c r="I9" s="45" t="n"/>
      <c r="J9" s="46" t="n"/>
      <c r="K9" s="1" t="n"/>
    </row>
    <row r="10" ht="4" customHeight="1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</row>
    <row r="11" ht="30" customHeight="1">
      <c r="A11" s="1" t="n"/>
      <c r="B11" s="1" t="n"/>
      <c r="C11" s="58" t="inlineStr">
        <is>
          <t>☐  2</t>
        </is>
      </c>
      <c r="D11" s="59" t="inlineStr">
        <is>
          <t>Բիլինգի տարեկան roadmap-ի վերաբերյալ որոշում՝ ընդունո՞ւմ ենք, ինչ ենք փոխում</t>
        </is>
      </c>
      <c r="E11" s="41" t="n"/>
      <c r="F11" s="41" t="n"/>
      <c r="G11" s="41" t="n"/>
      <c r="H11" s="41" t="n"/>
      <c r="I11" s="43" t="inlineStr">
        <is>
          <t>ԱՅՍՕՐ · 09-09</t>
        </is>
      </c>
      <c r="J11" s="42" t="n"/>
      <c r="K11" s="1" t="n"/>
    </row>
    <row r="12" ht="22" customHeight="1">
      <c r="A12" s="1" t="n"/>
      <c r="B12" s="1" t="n"/>
      <c r="C12" s="60" t="inlineStr">
        <is>
          <t>07-06</t>
        </is>
      </c>
      <c r="D12" s="61" t="inlineStr">
        <is>
          <t>→  Ես ու Claude անցնում ենք փաստաթղթով կետ առ կետ, ամրագրում ենք երկու սկզբունքը գրավոր, և կազմում ենք Gadukyan-ին ուղարկվող պատասխանի տեքստը</t>
        </is>
      </c>
      <c r="E12" s="45" t="n"/>
      <c r="F12" s="45" t="n"/>
      <c r="G12" s="45" t="n"/>
      <c r="H12" s="45" t="n"/>
      <c r="I12" s="45" t="n"/>
      <c r="J12" s="46" t="n"/>
      <c r="K12" s="1" t="n"/>
    </row>
    <row r="13" ht="4" customHeight="1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</row>
    <row r="14" ht="30" customHeight="1">
      <c r="A14" s="1" t="n"/>
      <c r="B14" s="1" t="n"/>
      <c r="C14" s="58" t="inlineStr">
        <is>
          <t>☐  3</t>
        </is>
      </c>
      <c r="D14" s="59" t="inlineStr">
        <is>
          <t>Pull անել main-ից և նայել push արածը</t>
        </is>
      </c>
      <c r="E14" s="41" t="n"/>
      <c r="F14" s="41" t="n"/>
      <c r="G14" s="41" t="n"/>
      <c r="H14" s="41" t="n"/>
      <c r="I14" s="43" t="inlineStr">
        <is>
          <t>ԱՅՍՕՐ · 09-09</t>
        </is>
      </c>
      <c r="J14" s="42" t="n"/>
      <c r="K14" s="1" t="n"/>
    </row>
    <row r="15" ht="22" customHeight="1">
      <c r="A15" s="1" t="n"/>
      <c r="B15" s="1" t="n"/>
      <c r="C15" s="60" t="inlineStr">
        <is>
          <t>07-09</t>
        </is>
      </c>
      <c r="D15" s="61" t="inlineStr">
        <is>
          <t>→  Pull անել main-ից, նայել ինչ է փոխվել, և գրել մեկ պարբերություն՝ ինչ եմ տեսել, ինչն է աշխատում, ինչը՝ ոչ</t>
        </is>
      </c>
      <c r="E15" s="45" t="n"/>
      <c r="F15" s="45" t="n"/>
      <c r="G15" s="45" t="n"/>
      <c r="H15" s="45" t="n"/>
      <c r="I15" s="45" t="n"/>
      <c r="J15" s="46" t="n"/>
      <c r="K15" s="1" t="n"/>
    </row>
    <row r="16" ht="4" customHeight="1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</row>
    <row r="17" ht="30" customHeight="1">
      <c r="A17" s="1" t="n"/>
      <c r="B17" s="1" t="n"/>
      <c r="C17" s="58" t="inlineStr">
        <is>
          <t>☐  4</t>
        </is>
      </c>
      <c r="D17" s="59" t="inlineStr">
        <is>
          <t>pros/cons՝ պահո՞ւմ ենք քո համակարգը, թե բիլինգն ու Հայկի արածը դրա վրա չենք անում</t>
        </is>
      </c>
      <c r="E17" s="41" t="n"/>
      <c r="F17" s="41" t="n"/>
      <c r="G17" s="41" t="n"/>
      <c r="H17" s="41" t="n"/>
      <c r="I17" s="43" t="inlineStr">
        <is>
          <t>ԱՅՍՕՐ · 09-09</t>
        </is>
      </c>
      <c r="J17" s="42" t="n"/>
      <c r="K17" s="1" t="n"/>
    </row>
    <row r="18" ht="22" customHeight="1">
      <c r="A18" s="1" t="n"/>
      <c r="B18" s="1" t="n"/>
      <c r="C18" s="60" t="inlineStr">
        <is>
          <t>07-12</t>
        </is>
      </c>
      <c r="D18" s="61" t="inlineStr">
        <is>
          <t>→  Գրել pros/cons՝ կարճ, երկու սյունակ, ու տալ առաջարկություն</t>
        </is>
      </c>
      <c r="E18" s="45" t="n"/>
      <c r="F18" s="45" t="n"/>
      <c r="G18" s="45" t="n"/>
      <c r="H18" s="45" t="n"/>
      <c r="I18" s="45" t="n"/>
      <c r="J18" s="46" t="n"/>
      <c r="K18" s="1" t="n"/>
    </row>
    <row r="19" ht="4" customHeight="1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</row>
    <row r="20" ht="30" customHeight="1">
      <c r="A20" s="1" t="n"/>
      <c r="B20" s="1" t="n"/>
      <c r="C20" s="58" t="inlineStr">
        <is>
          <t>☐  5</t>
        </is>
      </c>
      <c r="D20" s="59" t="inlineStr">
        <is>
          <t>Գրաֆիկ՝ երբ ինչ է ուղարկվելու</t>
        </is>
      </c>
      <c r="E20" s="41" t="n"/>
      <c r="F20" s="41" t="n"/>
      <c r="G20" s="41" t="n"/>
      <c r="H20" s="41" t="n"/>
      <c r="I20" s="43" t="inlineStr">
        <is>
          <t>ԱՅՍՕՐ · 09-09</t>
        </is>
      </c>
      <c r="J20" s="42" t="n"/>
      <c r="K20" s="1" t="n"/>
    </row>
    <row r="21" ht="22" customHeight="1">
      <c r="A21" s="1" t="n"/>
      <c r="B21" s="1" t="n"/>
      <c r="C21" s="60" t="inlineStr">
        <is>
          <t>08-01</t>
        </is>
      </c>
      <c r="D21" s="61" t="inlineStr">
        <is>
          <t>→  Ուղարկել Gadukyan-ին</t>
        </is>
      </c>
      <c r="E21" s="45" t="n"/>
      <c r="F21" s="45" t="n"/>
      <c r="G21" s="45" t="n"/>
      <c r="H21" s="45" t="n"/>
      <c r="I21" s="45" t="n"/>
      <c r="J21" s="46" t="n"/>
      <c r="K21" s="1" t="n"/>
    </row>
    <row r="22" ht="4" customHeight="1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</row>
    <row r="23" ht="30" customHeight="1">
      <c r="A23" s="1" t="n"/>
      <c r="B23" s="1" t="n"/>
      <c r="C23" s="58" t="inlineStr">
        <is>
          <t>☐  6</t>
        </is>
      </c>
      <c r="D23" s="59" t="inlineStr">
        <is>
          <t>Մագայի գործառույթների մանրամասն նկարագիրը՝ ինչ ցուցակներ է հանում</t>
        </is>
      </c>
      <c r="E23" s="41" t="n"/>
      <c r="F23" s="41" t="n"/>
      <c r="G23" s="41" t="n"/>
      <c r="H23" s="41" t="n"/>
      <c r="I23" s="43" t="inlineStr">
        <is>
          <t>ԱՅՍՕՐ · 09-09</t>
        </is>
      </c>
      <c r="J23" s="42" t="n"/>
      <c r="K23" s="1" t="n"/>
    </row>
    <row r="24" ht="22" customHeight="1">
      <c r="A24" s="1" t="n"/>
      <c r="B24" s="1" t="n"/>
      <c r="C24" s="60" t="inlineStr">
        <is>
          <t>08-03</t>
        </is>
      </c>
      <c r="D24" s="61" t="inlineStr">
        <is>
          <t>→  Պահանջել քայլ առ քայլ նկարագիր և առանձնացնել առաջին 10 ավտոմատացվող կետը</t>
        </is>
      </c>
      <c r="E24" s="45" t="n"/>
      <c r="F24" s="45" t="n"/>
      <c r="G24" s="45" t="n"/>
      <c r="H24" s="45" t="n"/>
      <c r="I24" s="45" t="n"/>
      <c r="J24" s="46" t="n"/>
      <c r="K24" s="1" t="n"/>
    </row>
    <row r="25" ht="4" customHeight="1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</row>
    <row r="26" ht="30" customHeight="1">
      <c r="A26" s="1" t="n"/>
      <c r="B26" s="1" t="n"/>
      <c r="C26" s="58" t="inlineStr">
        <is>
          <t>☐  7</t>
        </is>
      </c>
      <c r="D26" s="59" t="inlineStr">
        <is>
          <t>Պարզել՝ ինչու տեսուչները ծրագրով չեն օգտվում, և փակել հին դոստուպը</t>
        </is>
      </c>
      <c r="E26" s="41" t="n"/>
      <c r="F26" s="41" t="n"/>
      <c r="G26" s="41" t="n"/>
      <c r="H26" s="41" t="n"/>
      <c r="I26" s="43" t="inlineStr">
        <is>
          <t>ԱՅՍՕՐ · 09-09</t>
        </is>
      </c>
      <c r="J26" s="42" t="n"/>
      <c r="K26" s="1" t="n"/>
    </row>
    <row r="27" ht="22" customHeight="1">
      <c r="A27" s="1" t="n"/>
      <c r="B27" s="1" t="n"/>
      <c r="C27" s="60" t="inlineStr">
        <is>
          <t>08-05</t>
        </is>
      </c>
      <c r="D27" s="61" t="inlineStr">
        <is>
          <t>→  Խոսել տեսուչների հետ, հայտարարել՝ վաղվանից միայն ծրագրով</t>
        </is>
      </c>
      <c r="E27" s="45" t="n"/>
      <c r="F27" s="45" t="n"/>
      <c r="G27" s="45" t="n"/>
      <c r="H27" s="45" t="n"/>
      <c r="I27" s="45" t="n"/>
      <c r="J27" s="46" t="n"/>
      <c r="K27" s="1" t="n"/>
    </row>
    <row r="28" ht="4" customHeight="1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</row>
    <row r="29" ht="30" customHeight="1">
      <c r="A29" s="1" t="n"/>
      <c r="B29" s="1" t="n"/>
      <c r="C29" s="58" t="inlineStr">
        <is>
          <t>☐  8</t>
        </is>
      </c>
      <c r="D29" s="59" t="inlineStr">
        <is>
          <t>Վաճառքի ռազմավարությանը ավելացնել հեռավաճառքի օպերացիոն մանրամասնումը և կորպորատիվ բաժինը</t>
        </is>
      </c>
      <c r="E29" s="41" t="n"/>
      <c r="F29" s="41" t="n"/>
      <c r="G29" s="41" t="n"/>
      <c r="H29" s="41" t="n"/>
      <c r="I29" s="43" t="inlineStr">
        <is>
          <t>ԱՅՍՕՐ · 09-09</t>
        </is>
      </c>
      <c r="J29" s="42" t="n"/>
      <c r="K29" s="1" t="n"/>
    </row>
    <row r="30" ht="22" customHeight="1">
      <c r="A30" s="1" t="n"/>
      <c r="B30" s="1" t="n"/>
      <c r="C30" s="60" t="inlineStr">
        <is>
          <t>09-01</t>
        </is>
      </c>
      <c r="D30" s="61" t="inlineStr">
        <is>
          <t>→  Գրել՝ (1) հեռավաճառքի օրվա ընթացակարգը՝ ինչ են անում, ոնց, ինչ սկրիպտով. (2) կորպորատիվ բաժինը զրոյից</t>
        </is>
      </c>
      <c r="E30" s="45" t="n"/>
      <c r="F30" s="45" t="n"/>
      <c r="G30" s="45" t="n"/>
      <c r="H30" s="45" t="n"/>
      <c r="I30" s="45" t="n"/>
      <c r="J30" s="46" t="n"/>
      <c r="K30" s="1" t="n"/>
    </row>
    <row r="31" ht="4" customHeight="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</row>
    <row r="32" ht="30" customHeight="1">
      <c r="A32" s="1" t="n"/>
      <c r="B32" s="1" t="n"/>
      <c r="C32" s="58" t="inlineStr">
        <is>
          <t>☐  9</t>
        </is>
      </c>
      <c r="D32" s="59" t="inlineStr">
        <is>
          <t>Retention flow-ը փակել Ռիչի վրա և արտացոլել վաճառքի ռազմավարության փաստաթղթում</t>
        </is>
      </c>
      <c r="E32" s="41" t="n"/>
      <c r="F32" s="41" t="n"/>
      <c r="G32" s="41" t="n"/>
      <c r="H32" s="41" t="n"/>
      <c r="I32" s="43" t="inlineStr">
        <is>
          <t>ԱՅՍՕՐ · 09-09</t>
        </is>
      </c>
      <c r="J32" s="42" t="n"/>
      <c r="K32" s="1" t="n"/>
    </row>
    <row r="33" ht="22" customHeight="1">
      <c r="A33" s="1" t="n"/>
      <c r="B33" s="1" t="n"/>
      <c r="C33" s="60" t="inlineStr">
        <is>
          <t>09-03</t>
        </is>
      </c>
      <c r="D33" s="61" t="inlineStr">
        <is>
          <t>→  Գրել flow-ը փաստաթղթում՝ ով է զանգում, ինչ սկրիպտով, ինչ առաջարկով, ինչ է գրանցվում. պատասխանատուն՝ Ռիչ, Համոյի փոխարեն</t>
        </is>
      </c>
      <c r="E33" s="45" t="n"/>
      <c r="F33" s="45" t="n"/>
      <c r="G33" s="45" t="n"/>
      <c r="H33" s="45" t="n"/>
      <c r="I33" s="45" t="n"/>
      <c r="J33" s="46" t="n"/>
      <c r="K33" s="1" t="n"/>
    </row>
    <row r="34" ht="4" customHeight="1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</row>
    <row r="35" ht="30" customHeight="1">
      <c r="A35" s="1" t="n"/>
      <c r="B35" s="1" t="n"/>
      <c r="C35" s="58" t="inlineStr">
        <is>
          <t>☐  10</t>
        </is>
      </c>
      <c r="D35" s="59" t="inlineStr">
        <is>
          <t>Churn-ի ռիսկի սիգնալները վերանայել՝ ինչն է համարվում ռիսկ</t>
        </is>
      </c>
      <c r="E35" s="41" t="n"/>
      <c r="F35" s="41" t="n"/>
      <c r="G35" s="41" t="n"/>
      <c r="H35" s="41" t="n"/>
      <c r="I35" s="43" t="inlineStr">
        <is>
          <t>ԱՅՍՕՐ · 09-09</t>
        </is>
      </c>
      <c r="J35" s="42" t="n"/>
      <c r="K35" s="1" t="n"/>
    </row>
    <row r="36" ht="22" customHeight="1">
      <c r="A36" s="1" t="n"/>
      <c r="B36" s="1" t="n"/>
      <c r="C36" s="60" t="inlineStr">
        <is>
          <t>09-04</t>
        </is>
      </c>
      <c r="D36" s="61" t="inlineStr">
        <is>
          <t>→  Անցնել Gadukyan-ի ուղարկած սիգնալների ցանկով, ավելացնել բացակայողները, և վերադարձնել ուղղված ցանկը</t>
        </is>
      </c>
      <c r="E36" s="45" t="n"/>
      <c r="F36" s="45" t="n"/>
      <c r="G36" s="45" t="n"/>
      <c r="H36" s="45" t="n"/>
      <c r="I36" s="45" t="n"/>
      <c r="J36" s="46" t="n"/>
      <c r="K36" s="1" t="n"/>
    </row>
    <row r="37" ht="4" customHeight="1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</row>
    <row r="38" ht="30" customHeight="1">
      <c r="A38" s="1" t="n"/>
      <c r="B38" s="1" t="n"/>
      <c r="C38" s="58" t="inlineStr">
        <is>
          <t>☐  11</t>
        </is>
      </c>
      <c r="D38" s="59" t="inlineStr">
        <is>
          <t>Չըռնի պրեդիքշնի սիգնալների ընդլայնված ցանկ առաջարկել</t>
        </is>
      </c>
      <c r="E38" s="41" t="n"/>
      <c r="F38" s="41" t="n"/>
      <c r="G38" s="41" t="n"/>
      <c r="H38" s="41" t="n"/>
      <c r="I38" s="43" t="inlineStr">
        <is>
          <t>ԱՅՍՕՐ · 09-09</t>
        </is>
      </c>
      <c r="J38" s="42" t="n"/>
      <c r="K38" s="1" t="n"/>
    </row>
    <row r="39" ht="22" customHeight="1">
      <c r="A39" s="1" t="n"/>
      <c r="B39" s="1" t="n"/>
      <c r="C39" s="60" t="inlineStr">
        <is>
          <t>09-09</t>
        </is>
      </c>
      <c r="D39" s="61" t="inlineStr">
        <is>
          <t>→  Claude-ը կազմում է ընդլայնված ցանկը, ես ստուգում եմ և տալիս Գադուկյանին</t>
        </is>
      </c>
      <c r="E39" s="45" t="n"/>
      <c r="F39" s="45" t="n"/>
      <c r="G39" s="45" t="n"/>
      <c r="H39" s="45" t="n"/>
      <c r="I39" s="45" t="n"/>
      <c r="J39" s="46" t="n"/>
      <c r="K39" s="1" t="n"/>
    </row>
    <row r="40" ht="4" customHeigh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</row>
    <row r="41" ht="26" customHeight="1">
      <c r="A41" s="1" t="n"/>
      <c r="B41" s="1" t="n"/>
      <c r="C41" s="47" t="inlineStr">
        <is>
          <t>ԱՅՍՕՐ ՍՏՈՒԳԵԼՈՒ ՈՒՐԻՇԻՑ</t>
        </is>
      </c>
      <c r="I41" s="48" t="inlineStr">
        <is>
          <t>2</t>
        </is>
      </c>
      <c r="K41" s="1" t="n"/>
    </row>
    <row r="42" ht="1.5" customHeight="1">
      <c r="A42" s="1" t="n"/>
      <c r="B42" s="1" t="n"/>
      <c r="C42" s="49" t="n"/>
      <c r="D42" s="49" t="n"/>
      <c r="E42" s="49" t="n"/>
      <c r="F42" s="49" t="n"/>
      <c r="G42" s="49" t="n"/>
      <c r="H42" s="49" t="n"/>
      <c r="I42" s="49" t="n"/>
      <c r="J42" s="49" t="n"/>
      <c r="K42" s="1" t="n"/>
    </row>
    <row r="43" ht="6" customHeigh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</row>
    <row r="44" ht="30" customHeight="1">
      <c r="A44" s="1" t="n"/>
      <c r="B44" s="1" t="n"/>
      <c r="C44" s="62" t="inlineStr">
        <is>
          <t>☐  12</t>
        </is>
      </c>
      <c r="D44" s="59" t="inlineStr">
        <is>
          <t>Գրել իր գործառույթների մանրամասն, քայլ առ քայլ նկարագիրը</t>
        </is>
      </c>
      <c r="E44" s="41" t="n"/>
      <c r="F44" s="41" t="n"/>
      <c r="G44" s="41" t="n"/>
      <c r="H44" s="41" t="n"/>
      <c r="I44" s="43" t="inlineStr">
        <is>
          <t>ԱՅՍՕՐ · 09-09</t>
        </is>
      </c>
      <c r="J44" s="42" t="n"/>
      <c r="K44" s="1" t="n"/>
    </row>
    <row r="45" ht="22" customHeight="1">
      <c r="A45" s="1" t="n"/>
      <c r="B45" s="1" t="n"/>
      <c r="C45" s="60" t="inlineStr">
        <is>
          <t>08-02</t>
        </is>
      </c>
      <c r="D45" s="61" t="inlineStr">
        <is>
          <t>→  Մագա · WhatsApp</t>
        </is>
      </c>
      <c r="E45" s="45" t="n"/>
      <c r="F45" s="45" t="n"/>
      <c r="G45" s="45" t="n"/>
      <c r="H45" s="45" t="n"/>
      <c r="I45" s="45" t="n"/>
      <c r="J45" s="46" t="n"/>
      <c r="K45" s="1" t="n"/>
    </row>
    <row r="46" ht="4" customHeigh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</row>
    <row r="47" ht="30" customHeight="1">
      <c r="A47" s="1" t="n"/>
      <c r="B47" s="1" t="n"/>
      <c r="C47" s="62" t="inlineStr">
        <is>
          <t>☐  13</t>
        </is>
      </c>
      <c r="D47" s="59" t="inlineStr">
        <is>
          <t>Հեռավաճառքի օպերացիոն կտորը՝ ինչ են անում, ոնց են անում, ինչ սկրիպտով</t>
        </is>
      </c>
      <c r="E47" s="41" t="n"/>
      <c r="F47" s="41" t="n"/>
      <c r="G47" s="41" t="n"/>
      <c r="H47" s="41" t="n"/>
      <c r="I47" s="43" t="inlineStr">
        <is>
          <t>ԱՅՍՕՐ · 09-09</t>
        </is>
      </c>
      <c r="J47" s="42" t="n"/>
      <c r="K47" s="1" t="n"/>
    </row>
    <row r="48" ht="22" customHeight="1">
      <c r="A48" s="1" t="n"/>
      <c r="B48" s="1" t="n"/>
      <c r="C48" s="60" t="inlineStr">
        <is>
          <t>09-01</t>
        </is>
      </c>
      <c r="D48" s="61" t="inlineStr">
        <is>
          <t>→  Ռիչ · Բանավոր</t>
        </is>
      </c>
      <c r="E48" s="45" t="n"/>
      <c r="F48" s="45" t="n"/>
      <c r="G48" s="45" t="n"/>
      <c r="H48" s="45" t="n"/>
      <c r="I48" s="45" t="n"/>
      <c r="J48" s="46" t="n"/>
      <c r="K48" s="1" t="n"/>
    </row>
    <row r="49" ht="4" customHeigh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</row>
    <row r="51" ht="18" customHeight="1">
      <c r="A51" s="1" t="n"/>
      <c r="B51" s="1" t="n"/>
      <c r="C51" s="63" t="inlineStr">
        <is>
          <t>Ընդամենը այսօրվա համար՝ 13 կետ։</t>
        </is>
      </c>
      <c r="K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</row>
  </sheetData>
  <mergeCells count="46">
    <mergeCell ref="D35:H35"/>
    <mergeCell ref="C41:H41"/>
    <mergeCell ref="D20:H20"/>
    <mergeCell ref="D18:J18"/>
    <mergeCell ref="D9:J9"/>
    <mergeCell ref="D12:J12"/>
    <mergeCell ref="D39:J39"/>
    <mergeCell ref="I11:J11"/>
    <mergeCell ref="D24:J24"/>
    <mergeCell ref="D30:J30"/>
    <mergeCell ref="D15:J15"/>
    <mergeCell ref="D33:J33"/>
    <mergeCell ref="I26:J26"/>
    <mergeCell ref="I47:J47"/>
    <mergeCell ref="C1:J1"/>
    <mergeCell ref="I32:J32"/>
    <mergeCell ref="I41:J41"/>
    <mergeCell ref="D11:H11"/>
    <mergeCell ref="D32:H32"/>
    <mergeCell ref="D17:H17"/>
    <mergeCell ref="D47:H47"/>
    <mergeCell ref="D36:J36"/>
    <mergeCell ref="D45:J45"/>
    <mergeCell ref="C51:J51"/>
    <mergeCell ref="D21:J21"/>
    <mergeCell ref="C2:J2"/>
    <mergeCell ref="I5:J5"/>
    <mergeCell ref="I23:J23"/>
    <mergeCell ref="I14:J14"/>
    <mergeCell ref="I8:J8"/>
    <mergeCell ref="I17:J17"/>
    <mergeCell ref="D27:J27"/>
    <mergeCell ref="I44:J44"/>
    <mergeCell ref="I29:J29"/>
    <mergeCell ref="D8:H8"/>
    <mergeCell ref="I35:J35"/>
    <mergeCell ref="I20:J20"/>
    <mergeCell ref="I38:J38"/>
    <mergeCell ref="D48:J48"/>
    <mergeCell ref="C5:H5"/>
    <mergeCell ref="D29:H29"/>
    <mergeCell ref="D23:H23"/>
    <mergeCell ref="D38:H38"/>
    <mergeCell ref="D14:H14"/>
    <mergeCell ref="D26:H26"/>
    <mergeCell ref="D44:H4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3864"/>
    <outlinePr summaryBelow="1" summaryRight="1"/>
    <pageSetUpPr/>
  </sheetPr>
  <dimension ref="A1:K46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.4" customWidth="1" min="2" max="2"/>
    <col width="15.5" customWidth="1" min="3" max="3"/>
    <col width="15.5" customWidth="1" min="4" max="4"/>
    <col width="15.5" customWidth="1" min="5" max="5"/>
    <col width="15.5" customWidth="1" min="6" max="6"/>
    <col width="15.5" customWidth="1" min="7" max="7"/>
    <col width="15.5" customWidth="1" min="8" max="8"/>
    <col width="15.5" customWidth="1" min="9" max="9"/>
    <col width="15.5" customWidth="1" min="10" max="10"/>
    <col width="2" customWidth="1" min="11" max="11"/>
  </cols>
  <sheetData>
    <row r="1" ht="36" customHeight="1">
      <c r="A1" s="1" t="n"/>
      <c r="B1" s="1" t="n"/>
      <c r="C1" s="2" t="inlineStr">
        <is>
          <t>ԱՌԱՋԱԴՐԱՆՔՆԵՐԻ ՏԱԽՏԱԿ</t>
        </is>
      </c>
      <c r="K1" s="1" t="n"/>
    </row>
    <row r="2" ht="17" customHeight="1">
      <c r="A2" s="1" t="n"/>
      <c r="B2" s="1" t="n"/>
      <c r="C2" s="3" t="inlineStr">
        <is>
          <t>2026-09-09, չորեքշաբթի   ·   ձախ շերտը՝ առաջնահերթություն   ·   կապույտ տողը՝ հաջորդ քայլ</t>
        </is>
      </c>
      <c r="K2" s="1" t="n"/>
    </row>
    <row r="3" ht="2.5" customHeight="1">
      <c r="A3" s="1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1" t="n"/>
    </row>
    <row r="4" ht="12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</row>
    <row r="5" ht="24" customHeight="1">
      <c r="A5" s="1" t="n"/>
      <c r="B5" s="1" t="n"/>
      <c r="C5" s="64" t="inlineStr">
        <is>
          <t>ՍՏԱՑՎԱԾ — ինչ է ինձնից սպասվում</t>
        </is>
      </c>
      <c r="K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</row>
    <row r="7" ht="26" customHeight="1">
      <c r="A7" s="1" t="n"/>
      <c r="B7" s="1" t="n"/>
      <c r="C7" s="56" t="inlineStr">
        <is>
          <t>ԱՅՍՕՐ</t>
        </is>
      </c>
      <c r="I7" s="57" t="inlineStr">
        <is>
          <t>11</t>
        </is>
      </c>
      <c r="K7" s="1" t="n"/>
    </row>
    <row r="8" ht="1.5" customHeight="1">
      <c r="A8" s="1" t="n"/>
      <c r="B8" s="1" t="n"/>
      <c r="C8" s="38" t="n"/>
      <c r="D8" s="38" t="n"/>
      <c r="E8" s="38" t="n"/>
      <c r="F8" s="38" t="n"/>
      <c r="G8" s="38" t="n"/>
      <c r="H8" s="38" t="n"/>
      <c r="I8" s="38" t="n"/>
      <c r="J8" s="38" t="n"/>
      <c r="K8" s="1" t="n"/>
    </row>
    <row r="9" ht="6" customHeight="1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</row>
    <row r="10" ht="19" customHeight="1">
      <c r="A10" s="1" t="n"/>
      <c r="B10" s="65" t="n"/>
      <c r="C10" s="66" t="inlineStr">
        <is>
          <t>T-2026-09-07-03</t>
        </is>
      </c>
      <c r="D10" s="41" t="n"/>
      <c r="E10" s="41" t="n"/>
      <c r="F10" s="67" t="inlineStr">
        <is>
          <t>ԸՆԹԱՑՔՈՒՄ</t>
        </is>
      </c>
      <c r="G10" s="68" t="n"/>
      <c r="H10" s="69" t="inlineStr">
        <is>
          <t>ԱՅՍՕՐ · 09-09</t>
        </is>
      </c>
      <c r="I10" s="41" t="n"/>
      <c r="J10" s="42" t="n"/>
      <c r="K10" s="1" t="n"/>
    </row>
    <row r="11" ht="34" customHeight="1">
      <c r="A11" s="1" t="n"/>
      <c r="B11" s="70" t="n"/>
      <c r="C11" s="71" t="inlineStr">
        <is>
          <t>AI/ծրագրի մաս 1՝ ներկայացնել որտեղ ինչ ես տեսնում</t>
        </is>
      </c>
      <c r="J11" s="72" t="n"/>
      <c r="K11" s="1" t="n"/>
    </row>
    <row r="12" ht="15" customHeight="1">
      <c r="A12" s="1" t="n"/>
      <c r="B12" s="70" t="n"/>
      <c r="C12" s="73" t="inlineStr">
        <is>
          <t>Ումից՝ Gadukyan   ·   09-07 17:18   ·   WhatsApp   ·   պատասխանատու՝ Ես   ·   Բարձր</t>
        </is>
      </c>
      <c r="J12" s="72" t="n"/>
      <c r="K12" s="1" t="n"/>
    </row>
    <row r="13" ht="30" customHeight="1">
      <c r="A13" s="1" t="n"/>
      <c r="B13" s="70" t="n"/>
      <c r="C13" s="74" t="inlineStr">
        <is>
          <t>«անում ենք 2 կտորով՝ առաջինը վաղը ինձ ներկայացնում ես որտեղ ինչ ես տեսնում /քո ծրագիրը կարաս ցույց տաս, կարաս ցույց չտաս, կարանք 0ից գրենք/»</t>
        </is>
      </c>
      <c r="J13" s="72" t="n"/>
      <c r="K13" s="1" t="n"/>
    </row>
    <row r="14" ht="22" customHeight="1">
      <c r="A14" s="1" t="n"/>
      <c r="B14" s="70" t="n"/>
      <c r="C14" s="75" t="inlineStr">
        <is>
          <t>Լուծում՝ Աշխատանքը ընթացքի մեջ է հենց հիմա</t>
        </is>
      </c>
      <c r="J14" s="72" t="n"/>
      <c r="K14" s="1" t="n"/>
    </row>
    <row r="15" ht="22" customHeight="1">
      <c r="A15" s="1" t="n"/>
      <c r="B15" s="70" t="n"/>
      <c r="C15" s="76" t="inlineStr">
        <is>
          <t>→  Ավարտել և ներկայացնել՝ կոնկրետ Հաուսի համար, ոչ ընդհանուր ծրագրի մասին</t>
        </is>
      </c>
      <c r="J15" s="72" t="n"/>
      <c r="K15" s="1" t="n"/>
    </row>
    <row r="16" ht="16" customHeight="1">
      <c r="A16" s="1" t="n"/>
      <c r="B16" s="77" t="n"/>
      <c r="C16" s="78" t="inlineStr">
        <is>
          <t>Ժամկետը՝ Իմ նոր ժամկետը (սկզբնականը՝ 09-08)   ·   Սկզբնական ժամկետը 09-08 էր, չի հասցվել. նոր ժամկետը՝ այսօր</t>
        </is>
      </c>
      <c r="D16" s="45" t="n"/>
      <c r="E16" s="45" t="n"/>
      <c r="F16" s="45" t="n"/>
      <c r="G16" s="45" t="n"/>
      <c r="H16" s="45" t="n"/>
      <c r="I16" s="45" t="n"/>
      <c r="J16" s="46" t="n"/>
      <c r="K16" s="1" t="n"/>
    </row>
    <row r="17" ht="8" customHeight="1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</row>
    <row r="18" ht="19" customHeight="1">
      <c r="A18" s="1" t="n"/>
      <c r="B18" s="65" t="n"/>
      <c r="C18" s="66" t="inlineStr">
        <is>
          <t>T-2026-09-07-06</t>
        </is>
      </c>
      <c r="D18" s="41" t="n"/>
      <c r="E18" s="41" t="n"/>
      <c r="F18" s="67" t="inlineStr">
        <is>
          <t>ԸՆԹԱՑՔՈՒՄ</t>
        </is>
      </c>
      <c r="G18" s="68" t="n"/>
      <c r="H18" s="69" t="inlineStr">
        <is>
          <t>ԱՅՍՕՐ · 09-09</t>
        </is>
      </c>
      <c r="I18" s="41" t="n"/>
      <c r="J18" s="42" t="n"/>
      <c r="K18" s="1" t="n"/>
    </row>
    <row r="19" ht="34" customHeight="1">
      <c r="A19" s="1" t="n"/>
      <c r="B19" s="70" t="n"/>
      <c r="C19" s="71" t="inlineStr">
        <is>
          <t>Բիլինգի տարեկան roadmap-ի վերաբերյալ որոշում՝ ընդունո՞ւմ ենք, ինչ ենք փոխում</t>
        </is>
      </c>
      <c r="J19" s="72" t="n"/>
      <c r="K19" s="1" t="n"/>
    </row>
    <row r="20" ht="15" customHeight="1">
      <c r="A20" s="1" t="n"/>
      <c r="B20" s="70" t="n"/>
      <c r="C20" s="73" t="inlineStr">
        <is>
          <t>Ումից՝ Gadukyan   ·   09-07 17:21   ·   WhatsApp   ·   պատասխանատու՝ Ես + Claude   ·   Բարձր</t>
        </is>
      </c>
      <c r="J20" s="72" t="n"/>
      <c r="K20" s="1" t="n"/>
    </row>
    <row r="21" ht="30" customHeight="1">
      <c r="A21" s="1" t="n"/>
      <c r="B21" s="70" t="n"/>
      <c r="C21" s="74" t="inlineStr">
        <is>
          <t>«ակտուալ ա՞ հաուզի համար թե չէ … եթե հա՝ ես մերոնց սկսեմ պատրաստել, եթե չէ՝ տուր քոնը, ու ժամանակ չեմ տալու դրա համար»</t>
        </is>
      </c>
      <c r="J21" s="72" t="n"/>
      <c r="K21" s="1" t="n"/>
    </row>
    <row r="22" ht="22" customHeight="1">
      <c r="A22" s="1" t="n"/>
      <c r="B22" s="70" t="n"/>
      <c r="C22" s="75" t="inlineStr">
        <is>
          <t>Լուծում՝ Փաստաթուղթը ձեռքի տակ է՝ 01_Ընթացիկ/HouseNet_Billing_Yearly_Roadmap_2026_ARM_v2։ Իմ երկու դիրքորոշումն արդեն ասված է՝ (1) KPI-ները քար չլինեն՝ 100%-ի հասածը փոխարինվի նորով, (2) BI-ը հանել բիլինգի վրայից՝ բիլինգը մնա միայն source of truth</t>
        </is>
      </c>
      <c r="J22" s="72" t="n"/>
      <c r="K22" s="1" t="n"/>
    </row>
    <row r="23" ht="22" customHeight="1">
      <c r="A23" s="1" t="n"/>
      <c r="B23" s="70" t="n"/>
      <c r="C23" s="76" t="inlineStr">
        <is>
          <t>→  Ես ու Claude անցնում ենք փաստաթղթով կետ առ կետ, ամրագրում ենք երկու սկզբունքը գրավոր, և կազմում ենք Gadukyan-ին ուղարկվող պատասխանի տեքստը</t>
        </is>
      </c>
      <c r="J23" s="72" t="n"/>
      <c r="K23" s="1" t="n"/>
    </row>
    <row r="24" ht="16" customHeight="1">
      <c r="A24" s="1" t="n"/>
      <c r="B24" s="77" t="n"/>
      <c r="C24" s="78" t="inlineStr">
        <is>
          <t>Ժամկետը՝ Իմ առաջարկը՝ այսօր նայենք   ·   ՀԱԿԱՍՈՒԹՅՈՒՆ՝ roadmap-ը Billing-ին տալիս է «Reporting &amp; intelligence» մանդատ, dashboards, forecast, churn scoring — ուղիղ հակառակը BI-ը հանելու դիրքորոշման</t>
        </is>
      </c>
      <c r="D24" s="45" t="n"/>
      <c r="E24" s="45" t="n"/>
      <c r="F24" s="45" t="n"/>
      <c r="G24" s="45" t="n"/>
      <c r="H24" s="45" t="n"/>
      <c r="I24" s="45" t="n"/>
      <c r="J24" s="46" t="n"/>
      <c r="K24" s="1" t="n"/>
    </row>
    <row r="25" ht="8" customHeight="1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</row>
    <row r="26" ht="19" customHeight="1">
      <c r="A26" s="1" t="n"/>
      <c r="B26" s="79" t="n"/>
      <c r="C26" s="66" t="inlineStr">
        <is>
          <t>T-2026-09-07-09</t>
        </is>
      </c>
      <c r="D26" s="41" t="n"/>
      <c r="E26" s="41" t="n"/>
      <c r="F26" s="80" t="inlineStr">
        <is>
          <t>ՆՈՐ</t>
        </is>
      </c>
      <c r="G26" s="81" t="n"/>
      <c r="H26" s="69" t="inlineStr">
        <is>
          <t>ԱՅՍՕՐ · 09-09</t>
        </is>
      </c>
      <c r="I26" s="41" t="n"/>
      <c r="J26" s="42" t="n"/>
      <c r="K26" s="1" t="n"/>
    </row>
    <row r="27" ht="34" customHeight="1">
      <c r="A27" s="1" t="n"/>
      <c r="B27" s="70" t="n"/>
      <c r="C27" s="71" t="inlineStr">
        <is>
          <t>Pull անել main-ից և նայել push արածը</t>
        </is>
      </c>
      <c r="J27" s="72" t="n"/>
      <c r="K27" s="1" t="n"/>
    </row>
    <row r="28" ht="15" customHeight="1">
      <c r="A28" s="1" t="n"/>
      <c r="B28" s="70" t="n"/>
      <c r="C28" s="73" t="inlineStr">
        <is>
          <t>Ումից՝ Gadukyan   ·   09-07 23:44   ·   WhatsApp   ·   պատասխանատու՝ Ես   ·   Ցածր</t>
        </is>
      </c>
      <c r="J28" s="72" t="n"/>
      <c r="K28" s="1" t="n"/>
    </row>
    <row r="29" ht="30" customHeight="1">
      <c r="A29" s="1" t="n"/>
      <c r="B29" s="70" t="n"/>
      <c r="C29" s="74" t="inlineStr">
        <is>
          <t>«push ած ա … կարաս pull լինես mainից»</t>
        </is>
      </c>
      <c r="J29" s="72" t="n"/>
      <c r="K29" s="1" t="n"/>
    </row>
    <row r="30" ht="22" customHeight="1">
      <c r="A30" s="1" t="n"/>
      <c r="B30" s="70" t="n"/>
      <c r="C30" s="75" t="inlineStr">
        <is>
          <t>Լուծում՝ —</t>
        </is>
      </c>
      <c r="J30" s="72" t="n"/>
      <c r="K30" s="1" t="n"/>
    </row>
    <row r="31" ht="22" customHeight="1">
      <c r="A31" s="1" t="n"/>
      <c r="B31" s="70" t="n"/>
      <c r="C31" s="76" t="inlineStr">
        <is>
          <t>→  Pull անել main-ից, նայել ինչ է փոխվել, և գրել մեկ պարբերություն՝ ինչ եմ տեսել, ինչն է աշխատում, ինչը՝ ոչ</t>
        </is>
      </c>
      <c r="J31" s="72" t="n"/>
      <c r="K31" s="1" t="n"/>
    </row>
    <row r="32" ht="16" customHeight="1">
      <c r="A32" s="1" t="n"/>
      <c r="B32" s="77" t="n"/>
      <c r="C32" s="78" t="inlineStr">
        <is>
          <t>Ժամկետը՝ Իմ առաջարկը</t>
        </is>
      </c>
      <c r="D32" s="45" t="n"/>
      <c r="E32" s="45" t="n"/>
      <c r="F32" s="45" t="n"/>
      <c r="G32" s="45" t="n"/>
      <c r="H32" s="45" t="n"/>
      <c r="I32" s="45" t="n"/>
      <c r="J32" s="46" t="n"/>
      <c r="K32" s="1" t="n"/>
    </row>
    <row r="33" ht="8" customHeight="1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</row>
    <row r="34" ht="19" customHeight="1">
      <c r="A34" s="1" t="n"/>
      <c r="B34" s="65" t="n"/>
      <c r="C34" s="66" t="inlineStr">
        <is>
          <t>T-2026-09-07-12</t>
        </is>
      </c>
      <c r="D34" s="41" t="n"/>
      <c r="E34" s="41" t="n"/>
      <c r="F34" s="80" t="inlineStr">
        <is>
          <t>ՆՈՐ</t>
        </is>
      </c>
      <c r="G34" s="81" t="n"/>
      <c r="H34" s="69" t="inlineStr">
        <is>
          <t>ԱՅՍՕՐ · 09-09</t>
        </is>
      </c>
      <c r="I34" s="41" t="n"/>
      <c r="J34" s="42" t="n"/>
      <c r="K34" s="1" t="n"/>
    </row>
    <row r="35" ht="34" customHeight="1">
      <c r="A35" s="1" t="n"/>
      <c r="B35" s="70" t="n"/>
      <c r="C35" s="71" t="inlineStr">
        <is>
          <t>pros/cons՝ պահո՞ւմ ենք քո համակարգը, թե բիլինգն ու Հայկի արածը դրա վրա չենք անում</t>
        </is>
      </c>
      <c r="J35" s="72" t="n"/>
      <c r="K35" s="1" t="n"/>
    </row>
    <row r="36" ht="15" customHeight="1">
      <c r="A36" s="1" t="n"/>
      <c r="B36" s="70" t="n"/>
      <c r="C36" s="73" t="inlineStr">
        <is>
          <t>Ումից՝ Gadukyan   ·   09-07 18:11   ·   WhatsApp   ·   պատասխանատու՝ Ես   ·   Բարձր</t>
        </is>
      </c>
      <c r="J36" s="72" t="n"/>
      <c r="K36" s="1" t="n"/>
    </row>
    <row r="37" ht="30" customHeight="1">
      <c r="A37" s="1" t="n"/>
      <c r="B37" s="70" t="n"/>
      <c r="C37" s="74" t="inlineStr">
        <is>
          <t>«պահում ե՞նք քոնը թե իմաստ չկա … հիմա էս բիլինգը ու Հայկի արածը դրա վրա անե՞նք թե չէ … pros/cons քոնի վրա անելու ու չանելու … սա հիմա հասկանանք շուտ»</t>
        </is>
      </c>
      <c r="J37" s="72" t="n"/>
      <c r="K37" s="1" t="n"/>
    </row>
    <row r="38" ht="22" customHeight="1">
      <c r="A38" s="1" t="n"/>
      <c r="B38" s="70" t="n"/>
      <c r="C38" s="75" t="inlineStr">
        <is>
          <t>Լուծում՝ —</t>
        </is>
      </c>
      <c r="J38" s="72" t="n"/>
      <c r="K38" s="1" t="n"/>
    </row>
    <row r="39" ht="22" customHeight="1">
      <c r="A39" s="1" t="n"/>
      <c r="B39" s="70" t="n"/>
      <c r="C39" s="76" t="inlineStr">
        <is>
          <t>→  Գրել pros/cons՝ կարճ, երկու սյունակ, ու տալ առաջարկություն</t>
        </is>
      </c>
      <c r="J39" s="72" t="n"/>
      <c r="K39" s="1" t="n"/>
    </row>
    <row r="40" ht="16" customHeight="1">
      <c r="A40" s="1" t="n"/>
      <c r="B40" s="77" t="n"/>
      <c r="C40" s="78" t="inlineStr">
        <is>
          <t>Ժամկետը՝ Իմ առաջարկը (դու գրել էիր «շուտ»)   ·   Gadukyan-ը գրել է «շուտ»։ Ժամկետը իմ առաջարկն է</t>
        </is>
      </c>
      <c r="D40" s="45" t="n"/>
      <c r="E40" s="45" t="n"/>
      <c r="F40" s="45" t="n"/>
      <c r="G40" s="45" t="n"/>
      <c r="H40" s="45" t="n"/>
      <c r="I40" s="45" t="n"/>
      <c r="J40" s="46" t="n"/>
      <c r="K40" s="1" t="n"/>
    </row>
    <row r="41" ht="8" customHeight="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</row>
    <row r="42" ht="19" customHeight="1">
      <c r="A42" s="1" t="n"/>
      <c r="B42" s="65" t="n"/>
      <c r="C42" s="66" t="inlineStr">
        <is>
          <t>T-2026-09-08-01</t>
        </is>
      </c>
      <c r="D42" s="41" t="n"/>
      <c r="E42" s="41" t="n"/>
      <c r="F42" s="67" t="inlineStr">
        <is>
          <t>ԸՆԹԱՑՔՈՒՄ</t>
        </is>
      </c>
      <c r="G42" s="68" t="n"/>
      <c r="H42" s="69" t="inlineStr">
        <is>
          <t>ԱՅՍՕՐ · 09-09</t>
        </is>
      </c>
      <c r="I42" s="41" t="n"/>
      <c r="J42" s="42" t="n"/>
      <c r="K42" s="1" t="n"/>
    </row>
    <row r="43" ht="34" customHeight="1">
      <c r="A43" s="1" t="n"/>
      <c r="B43" s="70" t="n"/>
      <c r="C43" s="71" t="inlineStr">
        <is>
          <t>Գրաֆիկ՝ երբ ինչ է ուղարկվելու</t>
        </is>
      </c>
      <c r="J43" s="72" t="n"/>
      <c r="K43" s="1" t="n"/>
    </row>
    <row r="44" ht="15" customHeight="1">
      <c r="A44" s="1" t="n"/>
      <c r="B44" s="70" t="n"/>
      <c r="C44" s="73" t="inlineStr">
        <is>
          <t>Ումից՝ Gadukyan   ·   09-08 16:50   ·   WhatsApp   ·   պատասխանատու՝ Ես   ·   Բարձր</t>
        </is>
      </c>
      <c r="J44" s="72" t="n"/>
      <c r="K44" s="1" t="n"/>
    </row>
    <row r="45" ht="30" customHeight="1">
      <c r="A45" s="1" t="n"/>
      <c r="B45" s="70" t="n"/>
      <c r="C45" s="74" t="inlineStr">
        <is>
          <t>«մի հատ մեր երեկվա գրածներով սարքի գրաֆիկ երբ ինչ ուղարկի ունենանք»</t>
        </is>
      </c>
      <c r="J45" s="72" t="n"/>
      <c r="K45" s="1" t="n"/>
    </row>
    <row r="46" ht="22" customHeight="1">
      <c r="A46" s="1" t="n"/>
      <c r="B46" s="70" t="n"/>
      <c r="C46" s="75" t="inlineStr">
        <is>
          <t>Լուծում՝ Գրաֆիկը ինքնաշխատ հավաքվում է այս ռեեստրից՝ բոլոր ժամկետներով</t>
        </is>
      </c>
      <c r="J46" s="72" t="n"/>
      <c r="K46" s="1" t="n"/>
    </row>
    <row r="47" ht="22" customHeight="1">
      <c r="A47" s="1" t="n"/>
      <c r="B47" s="70" t="n"/>
      <c r="C47" s="76" t="inlineStr">
        <is>
          <t>→  Ուղարկել Gadukyan-ին</t>
        </is>
      </c>
      <c r="J47" s="72" t="n"/>
      <c r="K47" s="1" t="n"/>
    </row>
    <row r="48" ht="16" customHeight="1">
      <c r="A48" s="1" t="n"/>
      <c r="B48" s="77" t="n"/>
      <c r="C48" s="78" t="inlineStr">
        <is>
          <t>Ժամկետը՝ Քո նշածը</t>
        </is>
      </c>
      <c r="D48" s="45" t="n"/>
      <c r="E48" s="45" t="n"/>
      <c r="F48" s="45" t="n"/>
      <c r="G48" s="45" t="n"/>
      <c r="H48" s="45" t="n"/>
      <c r="I48" s="45" t="n"/>
      <c r="J48" s="46" t="n"/>
      <c r="K48" s="1" t="n"/>
    </row>
    <row r="49" ht="8" customHeigh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</row>
    <row r="50" ht="19" customHeight="1">
      <c r="A50" s="1" t="n"/>
      <c r="B50" s="65" t="n"/>
      <c r="C50" s="66" t="inlineStr">
        <is>
          <t>T-2026-09-08-03</t>
        </is>
      </c>
      <c r="D50" s="41" t="n"/>
      <c r="E50" s="41" t="n"/>
      <c r="F50" s="67" t="inlineStr">
        <is>
          <t>ԸՆԹԱՑՔՈՒՄ</t>
        </is>
      </c>
      <c r="G50" s="68" t="n"/>
      <c r="H50" s="69" t="inlineStr">
        <is>
          <t>ԱՅՍՕՐ · 09-09</t>
        </is>
      </c>
      <c r="I50" s="41" t="n"/>
      <c r="J50" s="42" t="n"/>
      <c r="K50" s="1" t="n"/>
    </row>
    <row r="51" ht="34" customHeight="1">
      <c r="A51" s="1" t="n"/>
      <c r="B51" s="70" t="n"/>
      <c r="C51" s="71" t="inlineStr">
        <is>
          <t>Մագայի գործառույթների մանրամասն նկարագիրը՝ ինչ ցուցակներ է հանում</t>
        </is>
      </c>
      <c r="J51" s="72" t="n"/>
      <c r="K51" s="1" t="n"/>
    </row>
    <row r="52" ht="15" customHeight="1">
      <c r="A52" s="1" t="n"/>
      <c r="B52" s="70" t="n"/>
      <c r="C52" s="73" t="inlineStr">
        <is>
          <t>Ումից՝ Gadukyan   ·   09-08 18:50   ·   WhatsApp   ·   պատասխանատու՝ Մագա → Ես   ·   Բարձր</t>
        </is>
      </c>
      <c r="J52" s="72" t="n"/>
      <c r="K52" s="1" t="n"/>
    </row>
    <row r="53" ht="30" customHeight="1">
      <c r="A53" s="1" t="n"/>
      <c r="B53" s="70" t="n"/>
      <c r="C53" s="74" t="inlineStr">
        <is>
          <t>«Մագայից … իրա գործառույթները ասա թող ուղարկի … ինչ ցուցակներ ա հանում … վաղվա չթողենք» + 09-09 00:39՝ «թող ավելի մանրամասն գրի … առաջին 10 կետը ավտոմատացվող ա արագ / սպասում եմ»</t>
        </is>
      </c>
      <c r="J53" s="72" t="n"/>
      <c r="K53" s="1" t="n"/>
    </row>
    <row r="54" ht="22" customHeight="1">
      <c r="A54" s="1" t="n"/>
      <c r="B54" s="70" t="n"/>
      <c r="C54" s="75" t="inlineStr">
        <is>
          <t>Լուծում՝ Առաջին տարբերակը ստացվել է, բայց մակերեսային է</t>
        </is>
      </c>
      <c r="J54" s="72" t="n"/>
      <c r="K54" s="1" t="n"/>
    </row>
    <row r="55" ht="22" customHeight="1">
      <c r="A55" s="1" t="n"/>
      <c r="B55" s="70" t="n"/>
      <c r="C55" s="76" t="inlineStr">
        <is>
          <t>→  Պահանջել քայլ առ քայլ նկարագիր և առանձնացնել առաջին 10 ավտոմատացվող կետը</t>
        </is>
      </c>
      <c r="J55" s="72" t="n"/>
      <c r="K55" s="1" t="n"/>
    </row>
    <row r="56" ht="16" customHeight="1">
      <c r="A56" s="1" t="n"/>
      <c r="B56" s="77" t="n"/>
      <c r="C56" s="78" t="inlineStr">
        <is>
          <t>Ժամկետը՝ Քո նշածը   ·   Սկզբնական ժամկետը 09-08 էր։ Gadukyan-ը 09-09 գիշերը կրկնել է՝ «սպասում եմ»։ Սա reconciliation-ը Մագայի վրայից հանելու նախապայմանն է</t>
        </is>
      </c>
      <c r="D56" s="45" t="n"/>
      <c r="E56" s="45" t="n"/>
      <c r="F56" s="45" t="n"/>
      <c r="G56" s="45" t="n"/>
      <c r="H56" s="45" t="n"/>
      <c r="I56" s="45" t="n"/>
      <c r="J56" s="46" t="n"/>
      <c r="K56" s="1" t="n"/>
    </row>
    <row r="57" ht="8" customHeight="1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</row>
    <row r="58" ht="19" customHeight="1">
      <c r="A58" s="1" t="n"/>
      <c r="B58" s="65" t="n"/>
      <c r="C58" s="66" t="inlineStr">
        <is>
          <t>T-2026-09-08-05</t>
        </is>
      </c>
      <c r="D58" s="41" t="n"/>
      <c r="E58" s="41" t="n"/>
      <c r="F58" s="80" t="inlineStr">
        <is>
          <t>ՆՈՐ</t>
        </is>
      </c>
      <c r="G58" s="81" t="n"/>
      <c r="H58" s="69" t="inlineStr">
        <is>
          <t>ԱՅՍՕՐ · 09-09</t>
        </is>
      </c>
      <c r="I58" s="41" t="n"/>
      <c r="J58" s="42" t="n"/>
      <c r="K58" s="1" t="n"/>
    </row>
    <row r="59" ht="34" customHeight="1">
      <c r="A59" s="1" t="n"/>
      <c r="B59" s="70" t="n"/>
      <c r="C59" s="71" t="inlineStr">
        <is>
          <t>Պարզել՝ ինչու տեսուչները ծրագրով չեն օգտվում, և փակել հին դոստուպը</t>
        </is>
      </c>
      <c r="J59" s="72" t="n"/>
      <c r="K59" s="1" t="n"/>
    </row>
    <row r="60" ht="15" customHeight="1">
      <c r="A60" s="1" t="n"/>
      <c r="B60" s="70" t="n"/>
      <c r="C60" s="73" t="inlineStr">
        <is>
          <t>Ումից՝ Gadukyan   ·   09-08 22:03   ·   WhatsApp   ·   պատասխանատու՝ Ես   ·   Բարձր</t>
        </is>
      </c>
      <c r="J60" s="72" t="n"/>
      <c r="K60" s="1" t="n"/>
    </row>
    <row r="61" ht="30" customHeight="1">
      <c r="A61" s="1" t="n"/>
      <c r="B61" s="70" t="n"/>
      <c r="C61" s="74" t="inlineStr">
        <is>
          <t>«մի հատ վաղը հասկացի ինչի՞ մեր տեսուչները ծրագրով չեն օգտվում … ու կռուտիտներ մի ընդունի լա՞վ … միանգամից կարաս ասես որ վաղվանից փակում ես դոստուպը սաղի»</t>
        </is>
      </c>
      <c r="J61" s="72" t="n"/>
      <c r="K61" s="1" t="n"/>
    </row>
    <row r="62" ht="22" customHeight="1">
      <c r="A62" s="1" t="n"/>
      <c r="B62" s="70" t="n"/>
      <c r="C62" s="75" t="inlineStr">
        <is>
          <t>Լուծում՝ —</t>
        </is>
      </c>
      <c r="J62" s="72" t="n"/>
      <c r="K62" s="1" t="n"/>
    </row>
    <row r="63" ht="22" customHeight="1">
      <c r="A63" s="1" t="n"/>
      <c r="B63" s="70" t="n"/>
      <c r="C63" s="76" t="inlineStr">
        <is>
          <t>→  Խոսել տեսուչների հետ, հայտարարել՝ վաղվանից միայն ծրագրով</t>
        </is>
      </c>
      <c r="J63" s="72" t="n"/>
      <c r="K63" s="1" t="n"/>
    </row>
    <row r="64" ht="16" customHeight="1">
      <c r="A64" s="1" t="n"/>
      <c r="B64" s="77" t="n"/>
      <c r="C64" s="78" t="inlineStr">
        <is>
          <t>Ժամկետը՝ Քո նշածը   ·   Սա նույնպես reconciliation-ը Մագայի վրայից հանելու մասն է</t>
        </is>
      </c>
      <c r="D64" s="45" t="n"/>
      <c r="E64" s="45" t="n"/>
      <c r="F64" s="45" t="n"/>
      <c r="G64" s="45" t="n"/>
      <c r="H64" s="45" t="n"/>
      <c r="I64" s="45" t="n"/>
      <c r="J64" s="46" t="n"/>
      <c r="K64" s="1" t="n"/>
    </row>
    <row r="65" ht="8" customHeight="1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</row>
    <row r="66" ht="19" customHeight="1">
      <c r="A66" s="1" t="n"/>
      <c r="B66" s="65" t="n"/>
      <c r="C66" s="66" t="inlineStr">
        <is>
          <t>T-2026-09-09-01</t>
        </is>
      </c>
      <c r="D66" s="41" t="n"/>
      <c r="E66" s="41" t="n"/>
      <c r="F66" s="67" t="inlineStr">
        <is>
          <t>ԸՆԹԱՑՔՈՒՄ</t>
        </is>
      </c>
      <c r="G66" s="68" t="n"/>
      <c r="H66" s="69" t="inlineStr">
        <is>
          <t>ԱՅՍՕՐ · 09-09</t>
        </is>
      </c>
      <c r="I66" s="41" t="n"/>
      <c r="J66" s="42" t="n"/>
      <c r="K66" s="1" t="n"/>
    </row>
    <row r="67" ht="34" customHeight="1">
      <c r="A67" s="1" t="n"/>
      <c r="B67" s="70" t="n"/>
      <c r="C67" s="71" t="inlineStr">
        <is>
          <t>Վաճառքի ռազմավարությանը ավելացնել հեռավաճառքի օպերացիոն մանրամասնումը և կորպորատիվ բաժինը</t>
        </is>
      </c>
      <c r="J67" s="72" t="n"/>
      <c r="K67" s="1" t="n"/>
    </row>
    <row r="68" ht="15" customHeight="1">
      <c r="A68" s="1" t="n"/>
      <c r="B68" s="70" t="n"/>
      <c r="C68" s="73" t="inlineStr">
        <is>
          <t>Ումից՝ Gadukyan   ·   09-09 00:43   ·   WhatsApp   ·   պատասխանատու՝ Ես   ·   Բարձր</t>
        </is>
      </c>
      <c r="J68" s="72" t="n"/>
      <c r="K68" s="1" t="n"/>
    </row>
    <row r="69" ht="30" customHeight="1">
      <c r="A69" s="1" t="n"/>
      <c r="B69" s="70" t="n"/>
      <c r="C69" s="74" t="inlineStr">
        <is>
          <t>«ստեղ ավելացնենք telesales ի ստրատեգիան կարճաժամկետ, ու կորպորատիվի, առանձնացված մարդ որ չկա էդ բլոքեր չի … վաղը Ռիչի հետ էդ 2 կտորը ավելացրու»</t>
        </is>
      </c>
      <c r="J69" s="72" t="n"/>
      <c r="K69" s="1" t="n"/>
    </row>
    <row r="70" ht="22" customHeight="1">
      <c r="A70" s="1" t="n"/>
      <c r="B70" s="70" t="n"/>
      <c r="C70" s="75" t="inlineStr">
        <is>
          <t>Լուծում՝ Փաստաթղթում հեռավաճառքը կա թվերով՝ 2 գործակալ × 20 փաթեթ։ Կորպորատիվ բաժինը ընդհանրապես չկա</t>
        </is>
      </c>
      <c r="J70" s="72" t="n"/>
      <c r="K70" s="1" t="n"/>
    </row>
    <row r="71" ht="22" customHeight="1">
      <c r="A71" s="1" t="n"/>
      <c r="B71" s="70" t="n"/>
      <c r="C71" s="76" t="inlineStr">
        <is>
          <t>→  Գրել՝ (1) հեռավաճառքի օրվա ընթացակարգը՝ ինչ են անում, ոնց, ինչ սկրիպտով. (2) կորպորատիվ բաժինը զրոյից</t>
        </is>
      </c>
      <c r="J71" s="72" t="n"/>
      <c r="K71" s="1" t="n"/>
    </row>
    <row r="72" ht="16" customHeight="1">
      <c r="A72" s="1" t="n"/>
      <c r="B72" s="77" t="n"/>
      <c r="C72" s="78" t="inlineStr">
        <is>
          <t>Ժամկետը՝ Քո նշածը   ·   «Սաղ օֆիսով պիտի վաճառք անենք 4 ամիս, ձև չունենք»։ Կապվում է կորպի ռեփորթի հետ՝ T-2026-09-07-11</t>
        </is>
      </c>
      <c r="D72" s="45" t="n"/>
      <c r="E72" s="45" t="n"/>
      <c r="F72" s="45" t="n"/>
      <c r="G72" s="45" t="n"/>
      <c r="H72" s="45" t="n"/>
      <c r="I72" s="45" t="n"/>
      <c r="J72" s="46" t="n"/>
      <c r="K72" s="1" t="n"/>
    </row>
    <row r="73" ht="8" customHeight="1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</row>
    <row r="74" ht="19" customHeight="1">
      <c r="A74" s="1" t="n"/>
      <c r="B74" s="65" t="n"/>
      <c r="C74" s="66" t="inlineStr">
        <is>
          <t>T-2026-09-09-03</t>
        </is>
      </c>
      <c r="D74" s="41" t="n"/>
      <c r="E74" s="41" t="n"/>
      <c r="F74" s="80" t="inlineStr">
        <is>
          <t>ՆՈՐ</t>
        </is>
      </c>
      <c r="G74" s="81" t="n"/>
      <c r="H74" s="69" t="inlineStr">
        <is>
          <t>ԱՅՍՕՐ · 09-09</t>
        </is>
      </c>
      <c r="I74" s="41" t="n"/>
      <c r="J74" s="42" t="n"/>
      <c r="K74" s="1" t="n"/>
    </row>
    <row r="75" ht="34" customHeight="1">
      <c r="A75" s="1" t="n"/>
      <c r="B75" s="70" t="n"/>
      <c r="C75" s="71" t="inlineStr">
        <is>
          <t>Retention flow-ը փակել Ռիչի վրա և արտացոլել վաճառքի ռազմավարության փաստաթղթում</t>
        </is>
      </c>
      <c r="J75" s="72" t="n"/>
      <c r="K75" s="1" t="n"/>
    </row>
    <row r="76" ht="15" customHeight="1">
      <c r="A76" s="1" t="n"/>
      <c r="B76" s="70" t="n"/>
      <c r="C76" s="73" t="inlineStr">
        <is>
          <t>Ումից՝ Gadukyan   ·   09-09 12:36   ·   WhatsApp   ·   պատասխանատու՝ Ես   ·   Բարձր</t>
        </is>
      </c>
      <c r="J76" s="72" t="n"/>
      <c r="K76" s="1" t="n"/>
    </row>
    <row r="77" ht="30" customHeight="1">
      <c r="A77" s="1" t="n"/>
      <c r="B77" s="70" t="n"/>
      <c r="C77" s="74" t="inlineStr">
        <is>
          <t>«churnը կանգնացնելու համար մենք ինչ որ retentionի flow ունենք, որը Համոյի վրա էր փակվում … դա էլ Ռիչի վրա փակի ու էս դոքում արտացոլի … հենց պատրաստ լինի ուղարկի»</t>
        </is>
      </c>
      <c r="J77" s="72" t="n"/>
      <c r="K77" s="1" t="n"/>
    </row>
    <row r="78" ht="22" customHeight="1">
      <c r="A78" s="1" t="n"/>
      <c r="B78" s="70" t="n"/>
      <c r="C78" s="75" t="inlineStr">
        <is>
          <t>Լուծում՝ Ռեթենշն սկրիպտերը արդեն տրված են Անահիտին և հետևվում է կիրառմանը</t>
        </is>
      </c>
      <c r="J78" s="72" t="n"/>
      <c r="K78" s="1" t="n"/>
    </row>
    <row r="79" ht="22" customHeight="1">
      <c r="A79" s="1" t="n"/>
      <c r="B79" s="70" t="n"/>
      <c r="C79" s="76" t="inlineStr">
        <is>
          <t>→  Գրել flow-ը փաստաթղթում՝ ով է զանգում, ինչ սկրիպտով, ինչ առաջարկով, ինչ է գրանցվում. պատասխանատուն՝ Ռիչ, Համոյի փոխարեն</t>
        </is>
      </c>
      <c r="J79" s="72" t="n"/>
      <c r="K79" s="1" t="n"/>
    </row>
    <row r="80" ht="16" customHeight="1">
      <c r="A80" s="1" t="n"/>
      <c r="B80" s="77" t="n"/>
      <c r="C80" s="78" t="inlineStr">
        <is>
          <t>Ժամկետը՝ Քո նշածը   ·   Փաստաթուղթը՝ «Վաճառքի կարճաժամկետ ռազմավարություն.docx»։ Հենց պատրաստ լինի՝ ուղարկվում է</t>
        </is>
      </c>
      <c r="D80" s="45" t="n"/>
      <c r="E80" s="45" t="n"/>
      <c r="F80" s="45" t="n"/>
      <c r="G80" s="45" t="n"/>
      <c r="H80" s="45" t="n"/>
      <c r="I80" s="45" t="n"/>
      <c r="J80" s="46" t="n"/>
      <c r="K80" s="1" t="n"/>
    </row>
    <row r="81" ht="8" customHeight="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</row>
    <row r="82" ht="19" customHeight="1">
      <c r="A82" s="1" t="n"/>
      <c r="B82" s="65" t="n"/>
      <c r="C82" s="66" t="inlineStr">
        <is>
          <t>T-2026-09-09-04</t>
        </is>
      </c>
      <c r="D82" s="41" t="n"/>
      <c r="E82" s="41" t="n"/>
      <c r="F82" s="67" t="inlineStr">
        <is>
          <t>ԸՆԹԱՑՔՈՒՄ</t>
        </is>
      </c>
      <c r="G82" s="68" t="n"/>
      <c r="H82" s="69" t="inlineStr">
        <is>
          <t>ԱՅՍՕՐ · 09-09</t>
        </is>
      </c>
      <c r="I82" s="41" t="n"/>
      <c r="J82" s="42" t="n"/>
      <c r="K82" s="1" t="n"/>
    </row>
    <row r="83" ht="34" customHeight="1">
      <c r="A83" s="1" t="n"/>
      <c r="B83" s="70" t="n"/>
      <c r="C83" s="71" t="inlineStr">
        <is>
          <t>Churn-ի ռիսկի սիգնալները վերանայել՝ ինչն է համարվում ռիսկ</t>
        </is>
      </c>
      <c r="J83" s="72" t="n"/>
      <c r="K83" s="1" t="n"/>
    </row>
    <row r="84" ht="15" customHeight="1">
      <c r="A84" s="1" t="n"/>
      <c r="B84" s="70" t="n"/>
      <c r="C84" s="73" t="inlineStr">
        <is>
          <t>Ումից՝ Gadukyan   ·   09-09 12:46   ·   WhatsApp   ·   պատասխանատու՝ Ես   ·   Բարձր</t>
        </is>
      </c>
      <c r="J84" s="72" t="n"/>
      <c r="K84" s="1" t="n"/>
    </row>
    <row r="85" ht="30" customHeight="1">
      <c r="A85" s="1" t="n"/>
      <c r="B85" s="70" t="n"/>
      <c r="C85" s="74" t="inlineStr">
        <is>
          <t>«արդեն կարաք սկսեք, մի հատ սիգնալները կնայես, թե ինչն ա համարում ռիսկ»</t>
        </is>
      </c>
      <c r="J85" s="72" t="n"/>
      <c r="K85" s="1" t="n"/>
    </row>
    <row r="86" ht="22" customHeight="1">
      <c r="A86" s="1" t="n"/>
      <c r="B86" s="70" t="n"/>
      <c r="C86" s="75" t="inlineStr">
        <is>
          <t>Լուծում՝ Երկու բաց արդեն նկատված է՝ (1) բողոքով զանգերի քանակը ամսվա ընթացքում սիգնալներում չկա, (2) տարեկան պայմանագրով բաժանորդը չի կարող նույն կերպ չըռն համարվել</t>
        </is>
      </c>
      <c r="J86" s="72" t="n"/>
      <c r="K86" s="1" t="n"/>
    </row>
    <row r="87" ht="22" customHeight="1">
      <c r="A87" s="1" t="n"/>
      <c r="B87" s="70" t="n"/>
      <c r="C87" s="76" t="inlineStr">
        <is>
          <t>→  Անցնել Gadukyan-ի ուղարկած սիգնալների ցանկով, ավելացնել բացակայողները, և վերադարձնել ուղղված ցանկը</t>
        </is>
      </c>
      <c r="J87" s="72" t="n"/>
      <c r="K87" s="1" t="n"/>
    </row>
    <row r="88" ht="16" customHeight="1">
      <c r="A88" s="1" t="n"/>
      <c r="B88" s="77" t="n"/>
      <c r="C88" s="78" t="inlineStr">
        <is>
          <t>Ժամկետը՝ Քո նշածը   ·   Սիգնալները եկել են նկարով։ Համապատասխան ֆայլը՝ save-list (2).xlsx</t>
        </is>
      </c>
      <c r="D88" s="45" t="n"/>
      <c r="E88" s="45" t="n"/>
      <c r="F88" s="45" t="n"/>
      <c r="G88" s="45" t="n"/>
      <c r="H88" s="45" t="n"/>
      <c r="I88" s="45" t="n"/>
      <c r="J88" s="46" t="n"/>
      <c r="K88" s="1" t="n"/>
    </row>
    <row r="89" ht="8" customHeight="1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</row>
    <row r="90" ht="19" customHeight="1">
      <c r="A90" s="1" t="n"/>
      <c r="B90" s="65" t="n"/>
      <c r="C90" s="66" t="inlineStr">
        <is>
          <t>T-2026-09-09-09</t>
        </is>
      </c>
      <c r="D90" s="41" t="n"/>
      <c r="E90" s="41" t="n"/>
      <c r="F90" s="67" t="inlineStr">
        <is>
          <t>ԸՆԹԱՑՔՈՒՄ</t>
        </is>
      </c>
      <c r="G90" s="68" t="n"/>
      <c r="H90" s="69" t="inlineStr">
        <is>
          <t>ԱՅՍՕՐ · 09-09</t>
        </is>
      </c>
      <c r="I90" s="41" t="n"/>
      <c r="J90" s="42" t="n"/>
      <c r="K90" s="1" t="n"/>
    </row>
    <row r="91" ht="34" customHeight="1">
      <c r="A91" s="1" t="n"/>
      <c r="B91" s="70" t="n"/>
      <c r="C91" s="71" t="inlineStr">
        <is>
          <t>Չըռնի պրեդիքշնի սիգնալների ընդլայնված ցանկ առաջարկել</t>
        </is>
      </c>
      <c r="J91" s="72" t="n"/>
      <c r="K91" s="1" t="n"/>
    </row>
    <row r="92" ht="15" customHeight="1">
      <c r="A92" s="1" t="n"/>
      <c r="B92" s="70" t="n"/>
      <c r="C92" s="73" t="inlineStr">
        <is>
          <t>Ումից՝ Gadukyan   ·   09-09 12:51   ·   WhatsApp   ·   պատասխանատու՝ Ես + Claude   ·   Բարձր</t>
        </is>
      </c>
      <c r="J92" s="72" t="n"/>
      <c r="K92" s="1" t="n"/>
    </row>
    <row r="93" ht="30" customHeight="1">
      <c r="A93" s="1" t="n"/>
      <c r="B93" s="70" t="n"/>
      <c r="C93" s="74" t="inlineStr">
        <is>
          <t>Ձայնային հաղորդագրություն՝ պետք է Գադուկյանին տալ churn prediction-ի սիգնալների ցանկ. բացի եղածներից՝ ինչ ավելացնել</t>
        </is>
      </c>
      <c r="J93" s="72" t="n"/>
      <c r="K93" s="1" t="n"/>
    </row>
    <row r="94" ht="22" customHeight="1">
      <c r="A94" s="1" t="n"/>
      <c r="B94" s="70" t="n"/>
      <c r="C94" s="75" t="inlineStr">
        <is>
          <t>Լուծում՝ Երկու բաց արդեն նշված է՝ բողոքով զանգերի քանակը ամսվա ընթացքում, և տարեկան պայմանագրով բաժանորդների առանձին մոտեցումը</t>
        </is>
      </c>
      <c r="J94" s="72" t="n"/>
      <c r="K94" s="1" t="n"/>
    </row>
    <row r="95" ht="22" customHeight="1">
      <c r="A95" s="1" t="n"/>
      <c r="B95" s="70" t="n"/>
      <c r="C95" s="76" t="inlineStr">
        <is>
          <t>→  Claude-ը կազմում է ընդլայնված ցանկը, ես ստուգում եմ և տալիս Գադուկյանին</t>
        </is>
      </c>
      <c r="J95" s="72" t="n"/>
      <c r="K95" s="1" t="n"/>
    </row>
    <row r="96" ht="16" customHeight="1">
      <c r="A96" s="1" t="n"/>
      <c r="B96" s="77" t="n"/>
      <c r="C96" s="78" t="inlineStr">
        <is>
          <t>Ժամկետը՝ Քո նշածը   ·   Կապված է T-2026-09-09-04-ի հետ՝ եղած սիգնալների վերանայման</t>
        </is>
      </c>
      <c r="D96" s="45" t="n"/>
      <c r="E96" s="45" t="n"/>
      <c r="F96" s="45" t="n"/>
      <c r="G96" s="45" t="n"/>
      <c r="H96" s="45" t="n"/>
      <c r="I96" s="45" t="n"/>
      <c r="J96" s="46" t="n"/>
      <c r="K96" s="1" t="n"/>
    </row>
    <row r="97" ht="8" customHeight="1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</row>
    <row r="99" ht="26" customHeight="1">
      <c r="A99" s="1" t="n"/>
      <c r="B99" s="1" t="n"/>
      <c r="C99" s="56" t="inlineStr">
        <is>
          <t>ՎԱՂԸ</t>
        </is>
      </c>
      <c r="I99" s="57" t="inlineStr">
        <is>
          <t>8</t>
        </is>
      </c>
      <c r="K99" s="1" t="n"/>
    </row>
    <row r="100" ht="1.5" customHeight="1">
      <c r="A100" s="1" t="n"/>
      <c r="B100" s="1" t="n"/>
      <c r="C100" s="38" t="n"/>
      <c r="D100" s="38" t="n"/>
      <c r="E100" s="38" t="n"/>
      <c r="F100" s="38" t="n"/>
      <c r="G100" s="38" t="n"/>
      <c r="H100" s="38" t="n"/>
      <c r="I100" s="38" t="n"/>
      <c r="J100" s="38" t="n"/>
      <c r="K100" s="1" t="n"/>
    </row>
    <row r="101" ht="6" customHeight="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</row>
    <row r="102" ht="19" customHeight="1">
      <c r="A102" s="1" t="n"/>
      <c r="B102" s="65" t="n"/>
      <c r="C102" s="66" t="inlineStr">
        <is>
          <t>T-2026-09-07-02</t>
        </is>
      </c>
      <c r="D102" s="41" t="n"/>
      <c r="E102" s="41" t="n"/>
      <c r="F102" s="67" t="inlineStr">
        <is>
          <t>ԸՆԹԱՑՔՈՒՄ</t>
        </is>
      </c>
      <c r="G102" s="68" t="n"/>
      <c r="H102" s="69" t="inlineStr">
        <is>
          <t>ՎԱՂԸ · 09-10 · հինգշաբթի</t>
        </is>
      </c>
      <c r="I102" s="41" t="n"/>
      <c r="J102" s="42" t="n"/>
      <c r="K102" s="1" t="n"/>
    </row>
    <row r="103" ht="34" customHeight="1">
      <c r="A103" s="1" t="n"/>
      <c r="B103" s="70" t="n"/>
      <c r="C103" s="71" t="inlineStr">
        <is>
          <t>Ներկայացնել կոնկրետ վաճառքի ռազմավարություն՝ բոլոր ուղղություններով</t>
        </is>
      </c>
      <c r="J103" s="72" t="n"/>
      <c r="K103" s="1" t="n"/>
    </row>
    <row r="104" ht="15" customHeight="1">
      <c r="A104" s="1" t="n"/>
      <c r="B104" s="70" t="n"/>
      <c r="C104" s="73" t="inlineStr">
        <is>
          <t>Ումից՝ Gadukyan   ·   09-07 17:17   ·   WhatsApp   ·   պատասխանատու՝ Ես   ·   Բարձր</t>
        </is>
      </c>
      <c r="J104" s="72" t="n"/>
      <c r="K104" s="1" t="n"/>
    </row>
    <row r="105" ht="30" customHeight="1">
      <c r="A105" s="1" t="n"/>
      <c r="B105" s="70" t="n"/>
      <c r="C105" s="74" t="inlineStr">
        <is>
          <t>«5 շաբթի ինձ ներկայացրեք /ոչ թե գեներացրեք/ կոնկրետ սաղ ուղղություններով ստրատեգիա … առանց վաճառքի ստրատեգիա՝ առաջ չենք գնալու»</t>
        </is>
      </c>
      <c r="J105" s="72" t="n"/>
      <c r="K105" s="1" t="n"/>
    </row>
    <row r="106" ht="22" customHeight="1">
      <c r="A106" s="1" t="n"/>
      <c r="B106" s="70" t="n"/>
      <c r="C106" s="75" t="inlineStr">
        <is>
          <t>Լուծում՝ Հիմքը գրված է՝ «Վաճառքի կարճաժամկետ ռազմավարություն.docx»՝ D2D-ն ամբողջական, թվերով, կանգնեցման կանոններով</t>
        </is>
      </c>
      <c r="J106" s="72" t="n"/>
      <c r="K106" s="1" t="n"/>
    </row>
    <row r="107" ht="22" customHeight="1">
      <c r="A107" s="1" t="n"/>
      <c r="B107" s="70" t="n"/>
      <c r="C107" s="76" t="inlineStr">
        <is>
          <t>→  Ավելացնել հեռավաճառքի օպերացիոն մանրամասնումը և կորպորատիվ բաժինը, հետո հավաքել ներկայացման տեսքի</t>
        </is>
      </c>
      <c r="J107" s="72" t="n"/>
      <c r="K107" s="1" t="n"/>
    </row>
    <row r="108" ht="16" customHeight="1">
      <c r="A108" s="1" t="n"/>
      <c r="B108" s="77" t="n"/>
      <c r="C108" s="78" t="inlineStr">
        <is>
          <t>Ժամկետը՝ Քո նշածը   ·   Կախված է՝ T-2026-09-09-01   ·   «5 շաբթի» = հինգշաբթի = 09-10։ Ներկայացումը ժողովին է՝ T-2026-09-09-02</t>
        </is>
      </c>
      <c r="D108" s="45" t="n"/>
      <c r="E108" s="45" t="n"/>
      <c r="F108" s="45" t="n"/>
      <c r="G108" s="45" t="n"/>
      <c r="H108" s="45" t="n"/>
      <c r="I108" s="45" t="n"/>
      <c r="J108" s="46" t="n"/>
      <c r="K108" s="1" t="n"/>
    </row>
    <row r="109" ht="8" customHeight="1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</row>
    <row r="110" ht="19" customHeight="1">
      <c r="A110" s="1" t="n"/>
      <c r="B110" s="82" t="n"/>
      <c r="C110" s="66" t="inlineStr">
        <is>
          <t>T-2026-09-07-08</t>
        </is>
      </c>
      <c r="D110" s="41" t="n"/>
      <c r="E110" s="41" t="n"/>
      <c r="F110" s="83" t="inlineStr">
        <is>
          <t>ՍՊԱՍՈՒՄ</t>
        </is>
      </c>
      <c r="G110" s="84" t="n"/>
      <c r="H110" s="69" t="inlineStr">
        <is>
          <t>ՎԱՂԸ · 09-10 · հինգշաբթի</t>
        </is>
      </c>
      <c r="I110" s="41" t="n"/>
      <c r="J110" s="42" t="n"/>
      <c r="K110" s="1" t="n"/>
    </row>
    <row r="111" ht="34" customHeight="1">
      <c r="A111" s="1" t="n"/>
      <c r="B111" s="70" t="n"/>
      <c r="C111" s="71" t="inlineStr">
        <is>
          <t>Ճշտել՝ հաստիքացուցակը ե՞րբ է ուժի մեջ մտնում (հոկտեմբերի 1-ից)</t>
        </is>
      </c>
      <c r="J111" s="72" t="n"/>
      <c r="K111" s="1" t="n"/>
    </row>
    <row r="112" ht="15" customHeight="1">
      <c r="A112" s="1" t="n"/>
      <c r="B112" s="70" t="n"/>
      <c r="C112" s="73" t="inlineStr">
        <is>
          <t>Ումից՝ Ես   ·   09-07 22:18   ·   WhatsApp   ·   պատասխանատու՝ Gadukyan   ·   Միջին</t>
        </is>
      </c>
      <c r="J112" s="72" t="n"/>
      <c r="K112" s="1" t="n"/>
    </row>
    <row r="113" ht="30" customHeight="1">
      <c r="A113" s="1" t="n"/>
      <c r="B113" s="70" t="n"/>
      <c r="C113" s="74" t="inlineStr">
        <is>
          <t>«ու եթե հա, հոկտեմբերիցա ուժի մեջ մտնում՞ փոփոխություններ կա որտև, որ սխալ բան չլինի»</t>
        </is>
      </c>
      <c r="J113" s="72" t="n"/>
      <c r="K113" s="1" t="n"/>
    </row>
    <row r="114" ht="22" customHeight="1">
      <c r="A114" s="1" t="n"/>
      <c r="B114" s="70" t="n"/>
      <c r="C114" s="75" t="inlineStr">
        <is>
          <t>Լուծում՝ Հաստիքացուցակն ինքը հաստատված է, ուժի մեջ մտնելու ամսաթիվը՝ ոչ</t>
        </is>
      </c>
      <c r="J114" s="72" t="n"/>
      <c r="K114" s="1" t="n"/>
    </row>
    <row r="115" ht="22" customHeight="1">
      <c r="A115" s="1" t="n"/>
      <c r="B115" s="70" t="n"/>
      <c r="C115" s="76" t="inlineStr">
        <is>
          <t>→  Կրկնել կոնկրետ՝ «ուժի մեջ մտնում է հոկտեմբերի 1-ից, հաստատո՞ւմ ես»</t>
        </is>
      </c>
      <c r="J115" s="72" t="n"/>
      <c r="K115" s="1" t="n"/>
    </row>
    <row r="116" ht="16" customHeight="1">
      <c r="A116" s="1" t="n"/>
      <c r="B116" s="77" t="n"/>
      <c r="C116" s="78" t="inlineStr">
        <is>
          <t>Ժամկետը՝ Իմ առաջարկը   ·   Պատասխանը եղել է ընդհանուր՝ «ներկայացրեք ինչ եք ուզում անեք՝ ու կանաչ լույս»</t>
        </is>
      </c>
      <c r="D116" s="45" t="n"/>
      <c r="E116" s="45" t="n"/>
      <c r="F116" s="45" t="n"/>
      <c r="G116" s="45" t="n"/>
      <c r="H116" s="45" t="n"/>
      <c r="I116" s="45" t="n"/>
      <c r="J116" s="46" t="n"/>
      <c r="K116" s="1" t="n"/>
    </row>
    <row r="117" ht="8" customHeight="1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</row>
    <row r="118" ht="19" customHeight="1">
      <c r="A118" s="1" t="n"/>
      <c r="B118" s="82" t="n"/>
      <c r="C118" s="66" t="inlineStr">
        <is>
          <t>T-2026-09-07-13</t>
        </is>
      </c>
      <c r="D118" s="41" t="n"/>
      <c r="E118" s="41" t="n"/>
      <c r="F118" s="83" t="inlineStr">
        <is>
          <t>ՍՊԱՍՈՒՄ</t>
        </is>
      </c>
      <c r="G118" s="84" t="n"/>
      <c r="H118" s="69" t="inlineStr">
        <is>
          <t>ՎԱՂԸ · 09-10 · հինգշաբթի</t>
        </is>
      </c>
      <c r="I118" s="41" t="n"/>
      <c r="J118" s="42" t="n"/>
      <c r="K118" s="1" t="n"/>
    </row>
    <row r="119" ht="34" customHeight="1">
      <c r="A119" s="1" t="n"/>
      <c r="B119" s="70" t="n"/>
      <c r="C119" s="71" t="inlineStr">
        <is>
          <t>Միկրոբիլի կարգավիճակների փաստաթղթի հաստատում</t>
        </is>
      </c>
      <c r="J119" s="72" t="n"/>
      <c r="K119" s="1" t="n"/>
    </row>
    <row r="120" ht="15" customHeight="1">
      <c r="A120" s="1" t="n"/>
      <c r="B120" s="70" t="n"/>
      <c r="C120" s="73" t="inlineStr">
        <is>
          <t>Ումից՝ Ես   ·   09-07 17:28   ·   WhatsApp   ·   պատասխանատու՝ Gadukyan   ·   Միջին</t>
        </is>
      </c>
      <c r="J120" s="72" t="n"/>
      <c r="K120" s="1" t="n"/>
    </row>
    <row r="121" ht="30" customHeight="1">
      <c r="A121" s="1" t="n"/>
      <c r="B121" s="70" t="n"/>
      <c r="C121" s="74" t="inlineStr">
        <is>
          <t>«Միկրոբիլի քոզերի մասով էս ա իմ պատկերացումը … եթե սա էր քո ուզածը, ճիշտ եմ հասկացել լավա, եթե չե ասա»</t>
        </is>
      </c>
      <c r="J121" s="72" t="n"/>
      <c r="K121" s="1" t="n"/>
    </row>
    <row r="122" ht="22" customHeight="1">
      <c r="A122" s="1" t="n"/>
      <c r="B122" s="70" t="n"/>
      <c r="C122" s="75" t="inlineStr">
        <is>
          <t>Լուծում՝ 8 կարգավիճակի սահմանումը ուղարկված է 09-05-ին և 09-07-ին</t>
        </is>
      </c>
      <c r="J122" s="72" t="n"/>
      <c r="K122" s="1" t="n"/>
    </row>
    <row r="123" ht="22" customHeight="1">
      <c r="A123" s="1" t="n"/>
      <c r="B123" s="70" t="n"/>
      <c r="C123" s="76" t="inlineStr">
        <is>
          <t>→  Ուղարկել 8 կարգավիճակի ցանկը մեկ հաղորդագրությամբ և խնդրել «հա» կամ «ուղղիր սա»</t>
        </is>
      </c>
      <c r="J123" s="72" t="n"/>
      <c r="K123" s="1" t="n"/>
    </row>
    <row r="124" ht="16" customHeight="1">
      <c r="A124" s="1" t="n"/>
      <c r="B124" s="77" t="n"/>
      <c r="C124" s="78" t="inlineStr">
        <is>
          <t>Ժամկետը՝ Իմ առաջարկը   ·   Gadukyan-ի 4 պահանջից՝ «բիլինգի քոզերի հարցը»</t>
        </is>
      </c>
      <c r="D124" s="45" t="n"/>
      <c r="E124" s="45" t="n"/>
      <c r="F124" s="45" t="n"/>
      <c r="G124" s="45" t="n"/>
      <c r="H124" s="45" t="n"/>
      <c r="I124" s="45" t="n"/>
      <c r="J124" s="46" t="n"/>
      <c r="K124" s="1" t="n"/>
    </row>
    <row r="125" ht="8" customHeight="1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</row>
    <row r="126" ht="19" customHeight="1">
      <c r="A126" s="1" t="n"/>
      <c r="B126" s="65" t="n"/>
      <c r="C126" s="66" t="inlineStr">
        <is>
          <t>T-2026-09-08-02</t>
        </is>
      </c>
      <c r="D126" s="41" t="n"/>
      <c r="E126" s="41" t="n"/>
      <c r="F126" s="83" t="inlineStr">
        <is>
          <t>ՍՊԱՍՈՒՄ</t>
        </is>
      </c>
      <c r="G126" s="84" t="n"/>
      <c r="H126" s="69" t="inlineStr">
        <is>
          <t>ՎԱՂԸ · 09-10 11:00 · հինգշաբթի</t>
        </is>
      </c>
      <c r="I126" s="41" t="n"/>
      <c r="J126" s="42" t="n"/>
      <c r="K126" s="1" t="n"/>
    </row>
    <row r="127" ht="34" customHeight="1">
      <c r="A127" s="1" t="n"/>
      <c r="B127" s="70" t="n"/>
      <c r="C127" s="71" t="inlineStr">
        <is>
          <t>Իրավաբանական անձանց բիլինգում ուղղել ՀՎՀՀ-ները</t>
        </is>
      </c>
      <c r="J127" s="72" t="n"/>
      <c r="K127" s="1" t="n"/>
    </row>
    <row r="128" ht="15" customHeight="1">
      <c r="A128" s="1" t="n"/>
      <c r="B128" s="70" t="n"/>
      <c r="C128" s="73" t="inlineStr">
        <is>
          <t>Ումից՝ Gadukyan   ·   09-08 18:15   ·   WhatsApp   ·   պատասխանատու՝ Մագա   ·   Բարձր</t>
        </is>
      </c>
      <c r="J128" s="72" t="n"/>
      <c r="K128" s="1" t="n"/>
    </row>
    <row r="129" ht="30" customHeight="1">
      <c r="A129" s="1" t="n"/>
      <c r="B129" s="70" t="n"/>
      <c r="C129" s="74" t="inlineStr">
        <is>
          <t>«մի հատ հանձնարարի սաղ իրավաբանական անձանց որ փոպանցումով են աշխատում, բիլինգում ճիշտ ՀՎՀՀ գրեն, որ reconslationy աշխատի»</t>
        </is>
      </c>
      <c r="J129" s="72" t="n"/>
      <c r="K129" s="1" t="n"/>
    </row>
    <row r="130" ht="22" customHeight="1">
      <c r="A130" s="1" t="n"/>
      <c r="B130" s="70" t="n"/>
      <c r="C130" s="75" t="inlineStr">
        <is>
          <t>Լուծում՝ Թասկը դրված է Bitrix24-ում Մագայի վրա, ժամկետը՝ 09-10 ժամը 11:00</t>
        </is>
      </c>
      <c r="J130" s="72" t="n"/>
      <c r="K130" s="1" t="n"/>
    </row>
    <row r="131" ht="22" customHeight="1">
      <c r="A131" s="1" t="n"/>
      <c r="B131" s="70" t="n"/>
      <c r="C131" s="76" t="inlineStr">
        <is>
          <t>→  09-10 11:00-ին ստուգել Bitrix-ում՝ փակվե՞լ է</t>
        </is>
      </c>
      <c r="J131" s="72" t="n"/>
      <c r="K131" s="1" t="n"/>
    </row>
    <row r="132" ht="16" customHeight="1">
      <c r="A132" s="1" t="n"/>
      <c r="B132" s="77" t="n"/>
      <c r="C132" s="78" t="inlineStr">
        <is>
          <t>Ժամկետը՝ Քո նշածը   ·   Bitrix24՝ Մագայի վրա   ·   Անհրաժեշտ է reconciliation-ի աշխատելու համար։ Տես H-2026-09-08-01</t>
        </is>
      </c>
      <c r="D132" s="45" t="n"/>
      <c r="E132" s="45" t="n"/>
      <c r="F132" s="45" t="n"/>
      <c r="G132" s="45" t="n"/>
      <c r="H132" s="45" t="n"/>
      <c r="I132" s="45" t="n"/>
      <c r="J132" s="46" t="n"/>
      <c r="K132" s="1" t="n"/>
    </row>
    <row r="133" ht="8" customHeight="1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</row>
    <row r="134" ht="19" customHeight="1">
      <c r="A134" s="1" t="n"/>
      <c r="B134" s="65" t="n"/>
      <c r="C134" s="66" t="inlineStr">
        <is>
          <t>T-2026-09-09-02</t>
        </is>
      </c>
      <c r="D134" s="41" t="n"/>
      <c r="E134" s="41" t="n"/>
      <c r="F134" s="80" t="inlineStr">
        <is>
          <t>ՆՈՐ</t>
        </is>
      </c>
      <c r="G134" s="81" t="n"/>
      <c r="H134" s="69" t="inlineStr">
        <is>
          <t>ՎԱՂԸ · 09-10 · հինգշաբթի</t>
        </is>
      </c>
      <c r="I134" s="41" t="n"/>
      <c r="J134" s="42" t="n"/>
      <c r="K134" s="1" t="n"/>
    </row>
    <row r="135" ht="34" customHeight="1">
      <c r="A135" s="1" t="n"/>
      <c r="B135" s="70" t="n"/>
      <c r="C135" s="71" t="inlineStr">
        <is>
          <t>Հինգշաբթի ժողով՝ ՄԵՆԱԿ վաճառքի խթանման մասով</t>
        </is>
      </c>
      <c r="J135" s="72" t="n"/>
      <c r="K135" s="1" t="n"/>
    </row>
    <row r="136" ht="15" customHeight="1">
      <c r="A136" s="1" t="n"/>
      <c r="B136" s="70" t="n"/>
      <c r="C136" s="73" t="inlineStr">
        <is>
          <t>Ումից՝ Gadukyan   ·   09-09 00:43   ·   WhatsApp   ·   պատասխանատու՝ Ես   ·   Բարձր</t>
        </is>
      </c>
      <c r="J136" s="72" t="n"/>
      <c r="K136" s="1" t="n"/>
    </row>
    <row r="137" ht="30" customHeight="1">
      <c r="A137" s="1" t="n"/>
      <c r="B137" s="70" t="n"/>
      <c r="C137" s="74" t="inlineStr">
        <is>
          <t>«5շաբթի ժողով ՄԵՆԱԿ վաճառքի խթանման մասով»</t>
        </is>
      </c>
      <c r="J137" s="72" t="n"/>
      <c r="K137" s="1" t="n"/>
    </row>
    <row r="138" ht="22" customHeight="1">
      <c r="A138" s="1" t="n"/>
      <c r="B138" s="70" t="n"/>
      <c r="C138" s="75" t="inlineStr">
        <is>
          <t>Լուծում՝ —</t>
        </is>
      </c>
      <c r="J138" s="72" t="n"/>
      <c r="K138" s="1" t="n"/>
    </row>
    <row r="139" ht="22" customHeight="1">
      <c r="A139" s="1" t="n"/>
      <c r="B139" s="70" t="n"/>
      <c r="C139" s="76" t="inlineStr">
        <is>
          <t>→  Օրակարգ + ներկայացման նյութ՝ վաճառքի ռազմավարության հիման վրա</t>
        </is>
      </c>
      <c r="J139" s="72" t="n"/>
      <c r="K139" s="1" t="n"/>
    </row>
    <row r="140" ht="16" customHeight="1">
      <c r="A140" s="1" t="n"/>
      <c r="B140" s="77" t="n"/>
      <c r="C140" s="78" t="inlineStr">
        <is>
          <t>Ժամկետը՝ Քո նշածը   ·   Կախված է՝ T-2026-09-07-02, T-2026-09-09-01   ·   Այլ թեմա չբերել</t>
        </is>
      </c>
      <c r="D140" s="45" t="n"/>
      <c r="E140" s="45" t="n"/>
      <c r="F140" s="45" t="n"/>
      <c r="G140" s="45" t="n"/>
      <c r="H140" s="45" t="n"/>
      <c r="I140" s="45" t="n"/>
      <c r="J140" s="46" t="n"/>
      <c r="K140" s="1" t="n"/>
    </row>
    <row r="141" ht="8" customHeight="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</row>
    <row r="142" ht="19" customHeight="1">
      <c r="A142" s="1" t="n"/>
      <c r="B142" s="82" t="n"/>
      <c r="C142" s="66" t="inlineStr">
        <is>
          <t>T-2026-09-09-05</t>
        </is>
      </c>
      <c r="D142" s="41" t="n"/>
      <c r="E142" s="41" t="n"/>
      <c r="F142" s="80" t="inlineStr">
        <is>
          <t>ՆՈՐ</t>
        </is>
      </c>
      <c r="G142" s="81" t="n"/>
      <c r="H142" s="69" t="inlineStr">
        <is>
          <t>ՎԱՂԸ · 09-10 · հինգշաբթի</t>
        </is>
      </c>
      <c r="I142" s="41" t="n"/>
      <c r="J142" s="42" t="n"/>
      <c r="K142" s="1" t="n"/>
    </row>
    <row r="143" ht="34" customHeight="1">
      <c r="A143" s="1" t="n"/>
      <c r="B143" s="70" t="n"/>
      <c r="C143" s="71" t="inlineStr">
        <is>
          <t>Churn-ի պրեդիքշն կետերը՝ համադրել թիմի փորձի հետ և ներկայացնել</t>
        </is>
      </c>
      <c r="J143" s="72" t="n"/>
      <c r="K143" s="1" t="n"/>
    </row>
    <row r="144" ht="15" customHeight="1">
      <c r="A144" s="1" t="n"/>
      <c r="B144" s="70" t="n"/>
      <c r="C144" s="73" t="inlineStr">
        <is>
          <t>Ումից՝ Ես   ·   09-09 12:55   ·   WhatsApp   ·   պատասխանատու՝ Ես + Claude   ·   Միջին</t>
        </is>
      </c>
      <c r="J144" s="72" t="n"/>
      <c r="K144" s="1" t="n"/>
    </row>
    <row r="145" ht="30" customHeight="1">
      <c r="A145" s="1" t="n"/>
      <c r="B145" s="70" t="n"/>
      <c r="C145" s="74" t="inlineStr">
        <is>
          <t>«իսկ չըռնի պրեդիքշն կետերը հեսա փորձեմ թիմինը ունենամ ոնց են անում ընդեղ, համադրեմ իմ իմացացի ու քլոդի հետ ասեմ քեզ»</t>
        </is>
      </c>
      <c r="J145" s="72" t="n"/>
      <c r="K145" s="1" t="n"/>
    </row>
    <row r="146" ht="22" customHeight="1">
      <c r="A146" s="1" t="n"/>
      <c r="B146" s="70" t="n"/>
      <c r="C146" s="75" t="inlineStr">
        <is>
          <t>Լուծում՝ —</t>
        </is>
      </c>
      <c r="J146" s="72" t="n"/>
      <c r="K146" s="1" t="n"/>
    </row>
    <row r="147" ht="22" customHeight="1">
      <c r="A147" s="1" t="n"/>
      <c r="B147" s="70" t="n"/>
      <c r="C147" s="76" t="inlineStr">
        <is>
          <t>→  Հավաքել՝ թիմն ինչ սիգնալներով է աշխատում, համադրել իմ ցանկի և Claude-ի առաջարկների հետ, տալ մեկ միասնական ցանկ</t>
        </is>
      </c>
      <c r="J147" s="72" t="n"/>
      <c r="K147" s="1" t="n"/>
    </row>
    <row r="148" ht="16" customHeight="1">
      <c r="A148" s="1" t="n"/>
      <c r="B148" s="77" t="n"/>
      <c r="C148" s="78" t="inlineStr">
        <is>
          <t>Ժամկետը՝ Իմ առաջարկը   ·   Կախված է՝ T-2026-09-09-04</t>
        </is>
      </c>
      <c r="D148" s="45" t="n"/>
      <c r="E148" s="45" t="n"/>
      <c r="F148" s="45" t="n"/>
      <c r="G148" s="45" t="n"/>
      <c r="H148" s="45" t="n"/>
      <c r="I148" s="45" t="n"/>
      <c r="J148" s="46" t="n"/>
      <c r="K148" s="1" t="n"/>
    </row>
    <row r="149" ht="8" customHeight="1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</row>
    <row r="150" ht="19" customHeight="1">
      <c r="A150" s="1" t="n"/>
      <c r="B150" s="65" t="n"/>
      <c r="C150" s="66" t="inlineStr">
        <is>
          <t>T-2026-09-09-06</t>
        </is>
      </c>
      <c r="D150" s="41" t="n"/>
      <c r="E150" s="41" t="n"/>
      <c r="F150" s="80" t="inlineStr">
        <is>
          <t>ՆՈՐ</t>
        </is>
      </c>
      <c r="G150" s="81" t="n"/>
      <c r="H150" s="69" t="inlineStr">
        <is>
          <t>ՎԱՂԸ · 09-10 · հինգշաբթի</t>
        </is>
      </c>
      <c r="I150" s="41" t="n"/>
      <c r="J150" s="42" t="n"/>
      <c r="K150" s="1" t="n"/>
    </row>
    <row r="151" ht="34" customHeight="1">
      <c r="A151" s="1" t="n"/>
      <c r="B151" s="70" t="n"/>
      <c r="C151" s="71" t="inlineStr">
        <is>
          <t>save-list-ը մշակել Անահիտի և Մագայի հետ</t>
        </is>
      </c>
      <c r="J151" s="72" t="n"/>
      <c r="K151" s="1" t="n"/>
    </row>
    <row r="152" ht="15" customHeight="1">
      <c r="A152" s="1" t="n"/>
      <c r="B152" s="70" t="n"/>
      <c r="C152" s="73" t="inlineStr">
        <is>
          <t>Ումից՝ Gadukyan   ·   09-09 13:07   ·   WhatsApp   ·   պատասխանատու՝ Ես + Անահիտ + Մագա   ·   Բարձր</t>
        </is>
      </c>
      <c r="J152" s="72" t="n"/>
      <c r="K152" s="1" t="n"/>
    </row>
    <row r="153" ht="30" customHeight="1">
      <c r="A153" s="1" t="n"/>
      <c r="B153" s="70" t="n"/>
      <c r="C153" s="74" t="inlineStr">
        <is>
          <t>«save-list (2).xlsx … սա կարող եք հասկանալ արդեն Անահիտի ու Մագայի հետ»</t>
        </is>
      </c>
      <c r="J153" s="72" t="n"/>
      <c r="K153" s="1" t="n"/>
    </row>
    <row r="154" ht="22" customHeight="1">
      <c r="A154" s="1" t="n"/>
      <c r="B154" s="70" t="n"/>
      <c r="C154" s="75" t="inlineStr">
        <is>
          <t>Լուծում՝ Հաստատված է՝ սա եղած սիգնալների վրա հանված չըռն-ռիսկային բաժանորդների ցանկն է</t>
        </is>
      </c>
      <c r="J154" s="72" t="n"/>
      <c r="K154" s="1" t="n"/>
    </row>
    <row r="155" ht="22" customHeight="1">
      <c r="A155" s="1" t="n"/>
      <c r="B155" s="70" t="n"/>
      <c r="C155" s="76" t="inlineStr">
        <is>
          <t>→  Նստել Անահիտի և Մագայի հետ՝ ցանկը բաժանել երկուսի միջև, սահմանել ով որ մասն է զանգում և ինչ ժամկետում</t>
        </is>
      </c>
      <c r="J155" s="72" t="n"/>
      <c r="K155" s="1" t="n"/>
    </row>
    <row r="156" ht="16" customHeight="1">
      <c r="A156" s="1" t="n"/>
      <c r="B156" s="77" t="n"/>
      <c r="C156" s="78" t="inlineStr">
        <is>
          <t>Ժամկետը՝ Իմ առաջարկը   ·   ՖԱՅԼԸ ՖՈԼԴԸՐՈՒՄ ՉԿԱ — save-list (2).xlsx-ը պետք է դնել 01_Ընթացիկ/</t>
        </is>
      </c>
      <c r="D156" s="45" t="n"/>
      <c r="E156" s="45" t="n"/>
      <c r="F156" s="45" t="n"/>
      <c r="G156" s="45" t="n"/>
      <c r="H156" s="45" t="n"/>
      <c r="I156" s="45" t="n"/>
      <c r="J156" s="46" t="n"/>
      <c r="K156" s="1" t="n"/>
    </row>
    <row r="157" ht="8" customHeight="1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</row>
    <row r="158" ht="19" customHeight="1">
      <c r="A158" s="1" t="n"/>
      <c r="B158" s="65" t="n"/>
      <c r="C158" s="66" t="inlineStr">
        <is>
          <t>T-2026-09-09-07</t>
        </is>
      </c>
      <c r="D158" s="41" t="n"/>
      <c r="E158" s="41" t="n"/>
      <c r="F158" s="80" t="inlineStr">
        <is>
          <t>ՆՈՐ</t>
        </is>
      </c>
      <c r="G158" s="81" t="n"/>
      <c r="H158" s="69" t="inlineStr">
        <is>
          <t>ՎԱՂԸ · 09-10 · հինգշաբթի</t>
        </is>
      </c>
      <c r="I158" s="41" t="n"/>
      <c r="J158" s="42" t="n"/>
      <c r="K158" s="1" t="n"/>
    </row>
    <row r="159" ht="34" customHeight="1">
      <c r="A159" s="1" t="n"/>
      <c r="B159" s="70" t="n"/>
      <c r="C159" s="71" t="inlineStr">
        <is>
          <t>Retention-ի հետևման համակարգը ֆորմալացնել</t>
        </is>
      </c>
      <c r="J159" s="72" t="n"/>
      <c r="K159" s="1" t="n"/>
    </row>
    <row r="160" ht="15" customHeight="1">
      <c r="A160" s="1" t="n"/>
      <c r="B160" s="70" t="n"/>
      <c r="C160" s="73" t="inlineStr">
        <is>
          <t>Ումից՝ Gadukyan   ·   09-09 12:44   ·   WhatsApp   ·   պատասխանատու՝ Ես   ·   Բարձր</t>
        </is>
      </c>
      <c r="J160" s="72" t="n"/>
      <c r="K160" s="1" t="n"/>
    </row>
    <row r="161" ht="30" customHeight="1">
      <c r="A161" s="1" t="n"/>
      <c r="B161" s="70" t="n"/>
      <c r="C161" s="74" t="inlineStr">
        <is>
          <t>«ոնց հետևես բա, եթե ամենօրյա գործ … սիսթեմ չես ուզու՞մ լինի ինչ որ» → «տելեի ավագի ու Անահիտի միջոցով … ավագը պիտի ռեփորթի Անահիտին, Անահիտը դեյլիում եթե կարմիր բան կա, ստանդարտ քեյսերն են վիքլիին»</t>
        </is>
      </c>
      <c r="J161" s="72" t="n"/>
      <c r="K161" s="1" t="n"/>
    </row>
    <row r="162" ht="22" customHeight="1">
      <c r="A162" s="1" t="n"/>
      <c r="B162" s="70" t="n"/>
      <c r="C162" s="75" t="inlineStr">
        <is>
          <t>Լուծում՝ Սխեման համաձայնեցված է՝ հեռավաճառքի ավագ → Անահիտ → կարմիրները daily, ստանդարտները weekly</t>
        </is>
      </c>
      <c r="J162" s="72" t="n"/>
      <c r="K162" s="1" t="n"/>
    </row>
    <row r="163" ht="22" customHeight="1">
      <c r="A163" s="1" t="n"/>
      <c r="B163" s="70" t="n"/>
      <c r="C163" s="76" t="inlineStr">
        <is>
          <t>→  Գրել՝ ռեփորթի ձևը, լրացման պարբերականությունը, ինչն է «կարմիր», և ում է գնում daily/weekly-ն</t>
        </is>
      </c>
      <c r="J163" s="72" t="n"/>
      <c r="K163" s="1" t="n"/>
    </row>
    <row r="164" ht="16" customHeight="1">
      <c r="A164" s="1" t="n"/>
      <c r="B164" s="77" t="n"/>
      <c r="C164" s="78" t="inlineStr">
        <is>
          <t>Ժամկետը՝ Իմ առաջարկը   ·   Կախված է՝ T-2026-09-09-03   ·   Զանգերը գնում են հեռավաճառքի վրա՝ մինչև retention մասնագետ ունենանք։ Ամենօրյա գործ է, ոչ թե Bitrix-ի առանձին զադաչա</t>
        </is>
      </c>
      <c r="D164" s="45" t="n"/>
      <c r="E164" s="45" t="n"/>
      <c r="F164" s="45" t="n"/>
      <c r="G164" s="45" t="n"/>
      <c r="H164" s="45" t="n"/>
      <c r="I164" s="45" t="n"/>
      <c r="J164" s="46" t="n"/>
      <c r="K164" s="1" t="n"/>
    </row>
    <row r="165" ht="8" customHeight="1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</row>
    <row r="167" ht="26" customHeight="1">
      <c r="A167" s="1" t="n"/>
      <c r="B167" s="1" t="n"/>
      <c r="C167" s="85" t="inlineStr">
        <is>
          <t>ԱՌԱՋԻԿԱ</t>
        </is>
      </c>
      <c r="I167" s="86" t="inlineStr">
        <is>
          <t>9</t>
        </is>
      </c>
      <c r="K167" s="1" t="n"/>
    </row>
    <row r="168" ht="1.5" customHeight="1">
      <c r="A168" s="1" t="n"/>
      <c r="B168" s="1" t="n"/>
      <c r="C168" s="87" t="n"/>
      <c r="D168" s="87" t="n"/>
      <c r="E168" s="87" t="n"/>
      <c r="F168" s="87" t="n"/>
      <c r="G168" s="87" t="n"/>
      <c r="H168" s="87" t="n"/>
      <c r="I168" s="87" t="n"/>
      <c r="J168" s="87" t="n"/>
      <c r="K168" s="1" t="n"/>
    </row>
    <row r="169" ht="6" customHeight="1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</row>
    <row r="170" ht="19" customHeight="1">
      <c r="A170" s="1" t="n"/>
      <c r="B170" s="65" t="n"/>
      <c r="C170" s="66" t="inlineStr">
        <is>
          <t>T-2026-09-07-07</t>
        </is>
      </c>
      <c r="D170" s="41" t="n"/>
      <c r="E170" s="41" t="n"/>
      <c r="F170" s="67" t="inlineStr">
        <is>
          <t>ԸՆԹԱՑՔՈՒՄ</t>
        </is>
      </c>
      <c r="G170" s="68" t="n"/>
      <c r="H170" s="88" t="inlineStr">
        <is>
          <t>09-11 · ուրբ · 2 օր</t>
        </is>
      </c>
      <c r="I170" s="41" t="n"/>
      <c r="J170" s="42" t="n"/>
      <c r="K170" s="1" t="n"/>
    </row>
    <row r="171" ht="34" customHeight="1">
      <c r="A171" s="1" t="n"/>
      <c r="B171" s="70" t="n"/>
      <c r="C171" s="71" t="inlineStr">
        <is>
          <t>Revenue Assurance-ի տեխնիկական առաջադրանքը գրել</t>
        </is>
      </c>
      <c r="J171" s="72" t="n"/>
      <c r="K171" s="1" t="n"/>
    </row>
    <row r="172" ht="15" customHeight="1">
      <c r="A172" s="1" t="n"/>
      <c r="B172" s="70" t="n"/>
      <c r="C172" s="73" t="inlineStr">
        <is>
          <t>Ումից՝ Gadukyan   ·   09-07 19:40   ·   WhatsApp   ·   պատասխանատու՝ Ես   ·   Բարձր</t>
        </is>
      </c>
      <c r="J172" s="72" t="n"/>
      <c r="K172" s="1" t="n"/>
    </row>
    <row r="173" ht="30" customHeight="1">
      <c r="A173" s="1" t="n"/>
      <c r="B173" s="70" t="n"/>
      <c r="C173" s="74" t="inlineStr">
        <is>
          <t>«Revenue Assurance, էս էջը, տեխնիկական առաջադրանքը էլի, ո՞րդուց ա»</t>
        </is>
      </c>
      <c r="J173" s="72" t="n"/>
      <c r="K173" s="1" t="n"/>
    </row>
    <row r="174" ht="22" customHeight="1">
      <c r="A174" s="1" t="n"/>
      <c r="B174" s="70" t="n"/>
      <c r="C174" s="75" t="inlineStr">
        <is>
          <t>Լուծում՝ Ձևակերպումը համաձայնեցված է՝ ինչ ծառայություն ենք տվել, ճի՞շտ ենք գանձել ու հաշվել</t>
        </is>
      </c>
      <c r="J174" s="72" t="n"/>
      <c r="K174" s="1" t="n"/>
    </row>
    <row r="175" ht="22" customHeight="1">
      <c r="A175" s="1" t="n"/>
      <c r="B175" s="70" t="n"/>
      <c r="C175" s="76" t="inlineStr">
        <is>
          <t>→  Գրել ՏԱ-ն 1 էջով՝ (1) որ աղբյուրներից են տվյալները, (2) ինչ է համեմատվում ինչի հետ՝ մատուցված ծառայություն ↔ գանձված գումար, (3) ինչ ելքային ռեփորթ և ինչ պարբերականությամբ, (4) ով է պատասխանատու շեղումների համար</t>
        </is>
      </c>
      <c r="J175" s="72" t="n"/>
      <c r="K175" s="1" t="n"/>
    </row>
    <row r="176" ht="16" customHeight="1">
      <c r="A176" s="1" t="n"/>
      <c r="B176" s="77" t="n"/>
      <c r="C176" s="78" t="inlineStr">
        <is>
          <t>Ժամկետը՝ Իմ առաջարկը   ·   Քննարկվել է ձայնային հաղորդագրություններով՝ export-ում չկան, բովանդակությունը ինձ հայտնի չէ</t>
        </is>
      </c>
      <c r="D176" s="45" t="n"/>
      <c r="E176" s="45" t="n"/>
      <c r="F176" s="45" t="n"/>
      <c r="G176" s="45" t="n"/>
      <c r="H176" s="45" t="n"/>
      <c r="I176" s="45" t="n"/>
      <c r="J176" s="46" t="n"/>
      <c r="K176" s="1" t="n"/>
    </row>
    <row r="177" ht="8" customHeight="1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</row>
    <row r="178" ht="19" customHeight="1">
      <c r="A178" s="1" t="n"/>
      <c r="B178" s="65" t="n"/>
      <c r="C178" s="66" t="inlineStr">
        <is>
          <t>T-2026-09-07-10</t>
        </is>
      </c>
      <c r="D178" s="41" t="n"/>
      <c r="E178" s="41" t="n"/>
      <c r="F178" s="80" t="inlineStr">
        <is>
          <t>ՆՈՐ</t>
        </is>
      </c>
      <c r="G178" s="81" t="n"/>
      <c r="H178" s="88" t="inlineStr">
        <is>
          <t>09-11 · ուրբ · 2 օր</t>
        </is>
      </c>
      <c r="I178" s="41" t="n"/>
      <c r="J178" s="42" t="n"/>
      <c r="K178" s="1" t="n"/>
    </row>
    <row r="179" ht="34" customHeight="1">
      <c r="A179" s="1" t="n"/>
      <c r="B179" s="70" t="n"/>
      <c r="C179" s="71" t="inlineStr">
        <is>
          <t>4 ամսվա մեջ ամսական 2% իջնելու հարցը</t>
        </is>
      </c>
      <c r="J179" s="72" t="n"/>
      <c r="K179" s="1" t="n"/>
    </row>
    <row r="180" ht="15" customHeight="1">
      <c r="A180" s="1" t="n"/>
      <c r="B180" s="70" t="n"/>
      <c r="C180" s="73" t="inlineStr">
        <is>
          <t>Ումից՝ Gadukyan   ·   09-07 17:55   ·   WhatsApp   ·   պատասխանատու՝ Ես   ·   Բարձր</t>
        </is>
      </c>
      <c r="J180" s="72" t="n"/>
      <c r="K180" s="1" t="n"/>
    </row>
    <row r="181" ht="30" customHeight="1">
      <c r="A181" s="1" t="n"/>
      <c r="B181" s="70" t="n"/>
      <c r="C181" s="74" t="inlineStr">
        <is>
          <t>«ես ու դու դա կարանք մի ժամում անենք … 4 բան էի ուզել … որից մեկը բիզնեսի համար կրիտիկական էր»</t>
        </is>
      </c>
      <c r="J181" s="72" t="n"/>
      <c r="K181" s="1" t="n"/>
    </row>
    <row r="182" ht="22" customHeight="1">
      <c r="A182" s="1" t="n"/>
      <c r="B182" s="70" t="n"/>
      <c r="C182" s="75" t="inlineStr">
        <is>
          <t>Լուծում՝ —</t>
        </is>
      </c>
      <c r="J182" s="72" t="n"/>
      <c r="K182" s="1" t="n"/>
    </row>
    <row r="183" ht="22" customHeight="1">
      <c r="A183" s="1" t="n"/>
      <c r="B183" s="70" t="n"/>
      <c r="C183" s="76" t="inlineStr">
        <is>
          <t>→  Ես ու Claude նստում ենք առանձին՝ սահմանում ենք ինչն է իջնում (բաժանորդ, եկամուտ, թե ծախս), որն է բազան, որն է 4 ամսվա թիրախը, և որ ռեփորթով է հետևվելու</t>
        </is>
      </c>
      <c r="J183" s="72" t="n"/>
      <c r="K183" s="1" t="n"/>
    </row>
    <row r="184" ht="16" customHeight="1">
      <c r="A184" s="1" t="n"/>
      <c r="B184" s="77" t="n"/>
      <c r="C184" s="78" t="inlineStr">
        <is>
          <t>Ժամկետը՝ Իմ առաջարկը   ·   ԿՐԻՏԻԿԱԿԱՆ։ Gadukyan-ի 4 պահանջից սա է անվանվել բիզնեսի համար կրիտիկականը։ Բովանդակությունը դիտավորյալ չեմ ենթադրում — առանձին քննարկվելու է</t>
        </is>
      </c>
      <c r="D184" s="45" t="n"/>
      <c r="E184" s="45" t="n"/>
      <c r="F184" s="45" t="n"/>
      <c r="G184" s="45" t="n"/>
      <c r="H184" s="45" t="n"/>
      <c r="I184" s="45" t="n"/>
      <c r="J184" s="46" t="n"/>
      <c r="K184" s="1" t="n"/>
    </row>
    <row r="185" ht="8" customHeight="1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</row>
    <row r="186" ht="19" customHeight="1">
      <c r="A186" s="1" t="n"/>
      <c r="B186" s="65" t="n"/>
      <c r="C186" s="66" t="inlineStr">
        <is>
          <t>T-2026-09-07-11</t>
        </is>
      </c>
      <c r="D186" s="41" t="n"/>
      <c r="E186" s="41" t="n"/>
      <c r="F186" s="80" t="inlineStr">
        <is>
          <t>ՆՈՐ</t>
        </is>
      </c>
      <c r="G186" s="81" t="n"/>
      <c r="H186" s="88" t="inlineStr">
        <is>
          <t>09-11 · ուրբ · 2 օր</t>
        </is>
      </c>
      <c r="I186" s="41" t="n"/>
      <c r="J186" s="42" t="n"/>
      <c r="K186" s="1" t="n"/>
    </row>
    <row r="187" ht="34" customHeight="1">
      <c r="A187" s="1" t="n"/>
      <c r="B187" s="70" t="n"/>
      <c r="C187" s="71" t="inlineStr">
        <is>
          <t>Կորպորատիվի ամսական ռեփորթ՝ քանի կորպ հաճախորդ ենք տեսել, խոսել և օֆեր արել</t>
        </is>
      </c>
      <c r="J187" s="72" t="n"/>
      <c r="K187" s="1" t="n"/>
    </row>
    <row r="188" ht="15" customHeight="1">
      <c r="A188" s="1" t="n"/>
      <c r="B188" s="70" t="n"/>
      <c r="C188" s="73" t="inlineStr">
        <is>
          <t>Ումից՝ Gadukyan   ·   09-07 17:55   ·   WhatsApp   ·   պատասխանատու՝ Ես   ·   Բարձր</t>
        </is>
      </c>
      <c r="J188" s="72" t="n"/>
      <c r="K188" s="1" t="n"/>
    </row>
    <row r="189" ht="30" customHeight="1">
      <c r="A189" s="1" t="n"/>
      <c r="B189" s="70" t="n"/>
      <c r="C189" s="74" t="inlineStr">
        <is>
          <t>«հաստիքացուցակ, 4 ամսվա մեջ ամսական 2 % իջնելու հարցը, կորպի ամսական ռեփորթ, բիլինգի քոզերի հարցը»</t>
        </is>
      </c>
      <c r="J189" s="72" t="n"/>
      <c r="K189" s="1" t="n"/>
    </row>
    <row r="190" ht="22" customHeight="1">
      <c r="A190" s="1" t="n"/>
      <c r="B190" s="70" t="n"/>
      <c r="C190" s="75" t="inlineStr">
        <is>
          <t>Լուծում՝ —</t>
        </is>
      </c>
      <c r="J190" s="72" t="n"/>
      <c r="K190" s="1" t="n"/>
    </row>
    <row r="191" ht="22" customHeight="1">
      <c r="A191" s="1" t="n"/>
      <c r="B191" s="70" t="n"/>
      <c r="C191" s="76" t="inlineStr">
        <is>
          <t>→  Սահմանել ռեփորթի ձևը՝ սյունակները (տեսնված · խոսած · օֆեր արած · կնքված), աղբյուրը՝ CRM, պարբերականությունը՝ ամսական, և ով է լրացնում</t>
        </is>
      </c>
      <c r="J191" s="72" t="n"/>
      <c r="K191" s="1" t="n"/>
    </row>
    <row r="192" ht="16" customHeight="1">
      <c r="A192" s="1" t="n"/>
      <c r="B192" s="77" t="n"/>
      <c r="C192" s="78" t="inlineStr">
        <is>
          <t>Ժամկետը՝ Իմ առաջարկը   ·   Gadukyan-ի 4 պահանջից մեկը։ Կապվում է կորպորատիվ վաճառքի բաժնի հետ՝ T-2026-09-09-01</t>
        </is>
      </c>
      <c r="D192" s="45" t="n"/>
      <c r="E192" s="45" t="n"/>
      <c r="F192" s="45" t="n"/>
      <c r="G192" s="45" t="n"/>
      <c r="H192" s="45" t="n"/>
      <c r="I192" s="45" t="n"/>
      <c r="J192" s="46" t="n"/>
      <c r="K192" s="1" t="n"/>
    </row>
    <row r="193" ht="8" customHeight="1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</row>
    <row r="194" ht="19" customHeight="1">
      <c r="A194" s="1" t="n"/>
      <c r="B194" s="82" t="n"/>
      <c r="C194" s="66" t="inlineStr">
        <is>
          <t>T-2026-09-07-14</t>
        </is>
      </c>
      <c r="D194" s="41" t="n"/>
      <c r="E194" s="41" t="n"/>
      <c r="F194" s="83" t="inlineStr">
        <is>
          <t>ՍՊԱՍՈՒՄ</t>
        </is>
      </c>
      <c r="G194" s="84" t="n"/>
      <c r="H194" s="88" t="inlineStr">
        <is>
          <t>09-11 · ուրբ · 2 օր</t>
        </is>
      </c>
      <c r="I194" s="41" t="n"/>
      <c r="J194" s="42" t="n"/>
      <c r="K194" s="1" t="n"/>
    </row>
    <row r="195" ht="34" customHeight="1">
      <c r="A195" s="1" t="n"/>
      <c r="B195" s="70" t="n"/>
      <c r="C195" s="71" t="inlineStr">
        <is>
          <t>CRM-ի ներսում ապրող AI-ի դեմոն՝ նայեն և թույլ տան սովորի</t>
        </is>
      </c>
      <c r="J195" s="72" t="n"/>
      <c r="K195" s="1" t="n"/>
    </row>
    <row r="196" ht="15" customHeight="1">
      <c r="A196" s="1" t="n"/>
      <c r="B196" s="70" t="n"/>
      <c r="C196" s="73" t="inlineStr">
        <is>
          <t>Ումից՝ Ես   ·   09-07 18:24   ·   WhatsApp   ·   պատասխանատու՝ Gadukyan-ի թիմ   ·   Միջին</t>
        </is>
      </c>
      <c r="J196" s="72" t="n"/>
      <c r="K196" s="1" t="n"/>
    </row>
    <row r="197" ht="30" customHeight="1">
      <c r="A197" s="1" t="n"/>
      <c r="B197" s="70" t="n"/>
      <c r="C197" s="74" t="inlineStr">
        <is>
          <t>«CRM ի ներսում ապրող AI - ի մասով, դա էլ պարաստ, դիփլոյ եմ արել, ստեղ մի հատ դեբին կա դրա վրա, դա էլ կնայեք՞ որ իրան ասենք գնա արդեն սովորի դա»</t>
        </is>
      </c>
      <c r="J197" s="72" t="n"/>
      <c r="K197" s="1" t="n"/>
    </row>
    <row r="198" ht="22" customHeight="1">
      <c r="A198" s="1" t="n"/>
      <c r="B198" s="70" t="n"/>
      <c r="C198" s="75" t="inlineStr">
        <is>
          <t>Լուծում՝ Դիփլոյ արված է, դեմոն պատրաստ է</t>
        </is>
      </c>
      <c r="J198" s="72" t="n"/>
      <c r="K198" s="1" t="n"/>
    </row>
    <row r="199" ht="22" customHeight="1">
      <c r="A199" s="1" t="n"/>
      <c r="B199" s="70" t="n"/>
      <c r="C199" s="76" t="inlineStr">
        <is>
          <t>→  Ամրագրել դիտման օր և ուղարկել՝ ինչ կոնկրետ նայեն՝ ճարտարապետություն, սովորելու կտոր, ինտեգրում CRM-ի հետ</t>
        </is>
      </c>
      <c r="J199" s="72" t="n"/>
      <c r="K199" s="1" t="n"/>
    </row>
    <row r="200" ht="16" customHeight="1">
      <c r="A200" s="1" t="n"/>
      <c r="B200" s="77" t="n"/>
      <c r="C200" s="78" t="inlineStr">
        <is>
          <t>Ժամկետը՝ Իմ առաջարկը</t>
        </is>
      </c>
      <c r="D200" s="45" t="n"/>
      <c r="E200" s="45" t="n"/>
      <c r="F200" s="45" t="n"/>
      <c r="G200" s="45" t="n"/>
      <c r="H200" s="45" t="n"/>
      <c r="I200" s="45" t="n"/>
      <c r="J200" s="46" t="n"/>
      <c r="K200" s="1" t="n"/>
    </row>
    <row r="201" ht="8" customHeight="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</row>
    <row r="202" ht="19" customHeight="1">
      <c r="A202" s="1" t="n"/>
      <c r="B202" s="65" t="n"/>
      <c r="C202" s="66" t="inlineStr">
        <is>
          <t>T-2026-09-08-06</t>
        </is>
      </c>
      <c r="D202" s="41" t="n"/>
      <c r="E202" s="41" t="n"/>
      <c r="F202" s="67" t="inlineStr">
        <is>
          <t>ԸՆԹԱՑՔՈՒՄ</t>
        </is>
      </c>
      <c r="G202" s="68" t="n"/>
      <c r="H202" s="88" t="inlineStr">
        <is>
          <t>09-11 · ուրբ · 2 օր</t>
        </is>
      </c>
      <c r="I202" s="41" t="n"/>
      <c r="J202" s="42" t="n"/>
      <c r="K202" s="1" t="n"/>
    </row>
    <row r="203" ht="34" customHeight="1">
      <c r="A203" s="1" t="n"/>
      <c r="B203" s="70" t="n"/>
      <c r="C203" s="71" t="inlineStr">
        <is>
          <t>Reconciliation-ը վերցնել Մագայի վրայից</t>
        </is>
      </c>
      <c r="J203" s="72" t="n"/>
      <c r="K203" s="1" t="n"/>
    </row>
    <row r="204" ht="15" customHeight="1">
      <c r="A204" s="1" t="n"/>
      <c r="B204" s="70" t="n"/>
      <c r="C204" s="73" t="inlineStr">
        <is>
          <t>Ումից՝ Gadukyan   ·   09-08 22:04   ·   WhatsApp   ·   պատասխանատու՝ Ես   ·   Բարձր</t>
        </is>
      </c>
      <c r="J204" s="72" t="n"/>
      <c r="K204" s="1" t="n"/>
    </row>
    <row r="205" ht="30" customHeight="1">
      <c r="A205" s="1" t="n"/>
      <c r="B205" s="70" t="n"/>
      <c r="C205" s="74" t="inlineStr">
        <is>
          <t>«ապեր քանի էս սաղ արել ենք … reconsilationը անենք հանենք Մագայի վրից … համ մենք հանգիստ քնենք համ ինքը»</t>
        </is>
      </c>
      <c r="J205" s="72" t="n"/>
      <c r="K205" s="1" t="n"/>
    </row>
    <row r="206" ht="22" customHeight="1">
      <c r="A206" s="1" t="n"/>
      <c r="B206" s="70" t="n"/>
      <c r="C206" s="75" t="inlineStr">
        <is>
          <t>Լուծում՝ Որոշումը կայացված է՝ Gadukyan-ը առաջարկել է, ես համաձայնվել եմ։ Խոսելու հարց չկա — կատարման հարց է</t>
        </is>
      </c>
      <c r="J206" s="72" t="n"/>
      <c r="K206" s="1" t="n"/>
    </row>
    <row r="207" ht="22" customHeight="1">
      <c r="A207" s="1" t="n"/>
      <c r="B207" s="70" t="n"/>
      <c r="C207" s="76" t="inlineStr">
        <is>
          <t>→  Փակել երեք նախապայմանը՝ Մագայի գործառույթները, տեսուչների հարցը, ՀՎՀՀ-ները. հետո փոխանցել</t>
        </is>
      </c>
      <c r="J207" s="72" t="n"/>
      <c r="K207" s="1" t="n"/>
    </row>
    <row r="208" ht="16" customHeight="1">
      <c r="A208" s="1" t="n"/>
      <c r="B208" s="77" t="n"/>
      <c r="C208" s="78" t="inlineStr">
        <is>
          <t>Ժամկետը՝ Քո նշածը՝ ուրբաթից խոդենք   ·   Կախված է՝ T-2026-09-08-03, T-2026-09-08-05, T-2026-09-08-02   ·   09-09՝ «շուտ անենք ուրբաթից խոդենք» — ուրբաթը go-live-ի օրն է</t>
        </is>
      </c>
      <c r="D208" s="45" t="n"/>
      <c r="E208" s="45" t="n"/>
      <c r="F208" s="45" t="n"/>
      <c r="G208" s="45" t="n"/>
      <c r="H208" s="45" t="n"/>
      <c r="I208" s="45" t="n"/>
      <c r="J208" s="46" t="n"/>
      <c r="K208" s="1" t="n"/>
    </row>
    <row r="209" ht="8" customHeight="1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</row>
    <row r="210" ht="19" customHeight="1">
      <c r="A210" s="1" t="n"/>
      <c r="B210" s="82" t="n"/>
      <c r="C210" s="66" t="inlineStr">
        <is>
          <t>T-2026-09-08-04</t>
        </is>
      </c>
      <c r="D210" s="41" t="n"/>
      <c r="E210" s="41" t="n"/>
      <c r="F210" s="80" t="inlineStr">
        <is>
          <t>ՆՈՐ</t>
        </is>
      </c>
      <c r="G210" s="81" t="n"/>
      <c r="H210" s="88" t="inlineStr">
        <is>
          <t>09-14 · երկ · 5 օր</t>
        </is>
      </c>
      <c r="I210" s="41" t="n"/>
      <c r="J210" s="42" t="n"/>
      <c r="K210" s="1" t="n"/>
    </row>
    <row r="211" ht="34" customHeight="1">
      <c r="A211" s="1" t="n"/>
      <c r="B211" s="70" t="n"/>
      <c r="C211" s="71" t="inlineStr">
        <is>
          <t>Շոֆեռ գտնել</t>
        </is>
      </c>
      <c r="J211" s="72" t="n"/>
      <c r="K211" s="1" t="n"/>
    </row>
    <row r="212" ht="15" customHeight="1">
      <c r="A212" s="1" t="n"/>
      <c r="B212" s="70" t="n"/>
      <c r="C212" s="73" t="inlineStr">
        <is>
          <t>Ումից՝ Gadukyan   ·   09-08 20:09   ·   WhatsApp   ·   պատասխանատու՝ Ես / Մագա   ·   Միջին</t>
        </is>
      </c>
      <c r="J212" s="72" t="n"/>
      <c r="K212" s="1" t="n"/>
    </row>
    <row r="213" ht="30" customHeight="1">
      <c r="A213" s="1" t="n"/>
      <c r="B213" s="70" t="n"/>
      <c r="C213" s="74" t="inlineStr">
        <is>
          <t>«շոֆեռ գտնելն էլ քո վրա, սա Մագան կարա քշի կարծում եմ»</t>
        </is>
      </c>
      <c r="J213" s="72" t="n"/>
      <c r="K213" s="1" t="n"/>
    </row>
    <row r="214" ht="22" customHeight="1">
      <c r="A214" s="1" t="n"/>
      <c r="B214" s="70" t="n"/>
      <c r="C214" s="75" t="inlineStr">
        <is>
          <t>Լուծում՝ —</t>
        </is>
      </c>
      <c r="J214" s="72" t="n"/>
      <c r="K214" s="1" t="n"/>
    </row>
    <row r="215" ht="22" customHeight="1">
      <c r="A215" s="1" t="n"/>
      <c r="B215" s="70" t="n"/>
      <c r="C215" s="76" t="inlineStr">
        <is>
          <t>→  Գրել պահանջները՝ կատեգորիա, փորձ, աշխատաժամեր, վարձատրություն. հանձնարարել Մագային որոնումը վարել, ես հաստատեմ թեկնածուն</t>
        </is>
      </c>
      <c r="J215" s="72" t="n"/>
      <c r="K215" s="1" t="n"/>
    </row>
    <row r="216" ht="16" customHeight="1">
      <c r="A216" s="1" t="n"/>
      <c r="B216" s="77" t="n"/>
      <c r="C216" s="78" t="inlineStr">
        <is>
          <t>Ժամկետը՝ Իմ առաջարկը</t>
        </is>
      </c>
      <c r="D216" s="45" t="n"/>
      <c r="E216" s="45" t="n"/>
      <c r="F216" s="45" t="n"/>
      <c r="G216" s="45" t="n"/>
      <c r="H216" s="45" t="n"/>
      <c r="I216" s="45" t="n"/>
      <c r="J216" s="46" t="n"/>
      <c r="K216" s="1" t="n"/>
    </row>
    <row r="217" ht="8" customHeight="1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</row>
    <row r="218" ht="19" customHeight="1">
      <c r="A218" s="1" t="n"/>
      <c r="B218" s="65" t="n"/>
      <c r="C218" s="66" t="inlineStr">
        <is>
          <t>T-2026-09-07-04</t>
        </is>
      </c>
      <c r="D218" s="41" t="n"/>
      <c r="E218" s="41" t="n"/>
      <c r="F218" s="80" t="inlineStr">
        <is>
          <t>ՆՈՐ</t>
        </is>
      </c>
      <c r="G218" s="81" t="n"/>
      <c r="H218" s="88" t="inlineStr">
        <is>
          <t>09-15 · երք · 6 օր</t>
        </is>
      </c>
      <c r="I218" s="41" t="n"/>
      <c r="J218" s="42" t="n"/>
      <c r="K218" s="1" t="n"/>
    </row>
    <row r="219" ht="34" customHeight="1">
      <c r="A219" s="1" t="n"/>
      <c r="B219" s="70" t="n"/>
      <c r="C219" s="71" t="inlineStr">
        <is>
          <t>Վերջնական հայեցակարգ՝ AI տրանսֆորմացիա</t>
        </is>
      </c>
      <c r="J219" s="72" t="n"/>
      <c r="K219" s="1" t="n"/>
    </row>
    <row r="220" ht="15" customHeight="1">
      <c r="A220" s="1" t="n"/>
      <c r="B220" s="70" t="n"/>
      <c r="C220" s="73" t="inlineStr">
        <is>
          <t>Ումից՝ Gadukyan   ·   09-07 17:19   ·   WhatsApp   ·   պատասխանատու՝ Ես   ·   Բարձր</t>
        </is>
      </c>
      <c r="J220" s="72" t="n"/>
      <c r="K220" s="1" t="n"/>
    </row>
    <row r="221" ht="30" customHeight="1">
      <c r="A221" s="1" t="n"/>
      <c r="B221" s="70" t="n"/>
      <c r="C221" s="74" t="inlineStr">
        <is>
          <t>«քոմենթում եմ ու ամսի 15 ին ունենում ենք վերջական հայեցակարգ»</t>
        </is>
      </c>
      <c r="J221" s="72" t="n"/>
      <c r="K221" s="1" t="n"/>
    </row>
    <row r="222" ht="22" customHeight="1">
      <c r="A222" s="1" t="n"/>
      <c r="B222" s="70" t="n"/>
      <c r="C222" s="75" t="inlineStr">
        <is>
          <t>Լուծում՝ —</t>
        </is>
      </c>
      <c r="J222" s="72" t="n"/>
      <c r="K222" s="1" t="n"/>
    </row>
    <row r="223" ht="22" customHeight="1">
      <c r="A223" s="1" t="n"/>
      <c r="B223" s="70" t="n"/>
      <c r="C223" s="76" t="inlineStr">
        <is>
          <t>→  Մաս 1-ից և քոմենթներից հետո հավաքել վերջնականը՝ ընթացիկ վիճակ, թիրախային վիճակ, անցման քայլեր, ժամկետներ</t>
        </is>
      </c>
      <c r="J223" s="72" t="n"/>
      <c r="K223" s="1" t="n"/>
    </row>
    <row r="224" ht="16" customHeight="1">
      <c r="A224" s="1" t="n"/>
      <c r="B224" s="77" t="n"/>
      <c r="C224" s="78" t="inlineStr">
        <is>
          <t>Ժամկետը՝ Քո նշածը   ·   Կախված է՝ T-2026-09-07-03</t>
        </is>
      </c>
      <c r="D224" s="45" t="n"/>
      <c r="E224" s="45" t="n"/>
      <c r="F224" s="45" t="n"/>
      <c r="G224" s="45" t="n"/>
      <c r="H224" s="45" t="n"/>
      <c r="I224" s="45" t="n"/>
      <c r="J224" s="46" t="n"/>
      <c r="K224" s="1" t="n"/>
    </row>
    <row r="225" ht="8" customHeight="1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</row>
    <row r="226" ht="19" customHeight="1">
      <c r="A226" s="1" t="n"/>
      <c r="B226" s="82" t="n"/>
      <c r="C226" s="66" t="inlineStr">
        <is>
          <t>T-2026-09-07-15</t>
        </is>
      </c>
      <c r="D226" s="41" t="n"/>
      <c r="E226" s="41" t="n"/>
      <c r="F226" s="83" t="inlineStr">
        <is>
          <t>ՍՊԱՍՈՒՄ</t>
        </is>
      </c>
      <c r="G226" s="84" t="n"/>
      <c r="H226" s="88" t="inlineStr">
        <is>
          <t>09-15 · երք · 6 օր</t>
        </is>
      </c>
      <c r="I226" s="41" t="n"/>
      <c r="J226" s="42" t="n"/>
      <c r="K226" s="1" t="n"/>
    </row>
    <row r="227" ht="34" customHeight="1">
      <c r="A227" s="1" t="n"/>
      <c r="B227" s="70" t="n"/>
      <c r="C227" s="71" t="inlineStr">
        <is>
          <t>Պորտալի/CRM-ի ճարտարապետության ստուգում իրենց կողմից</t>
        </is>
      </c>
      <c r="J227" s="72" t="n"/>
      <c r="K227" s="1" t="n"/>
    </row>
    <row r="228" ht="15" customHeight="1">
      <c r="A228" s="1" t="n"/>
      <c r="B228" s="70" t="n"/>
      <c r="C228" s="73" t="inlineStr">
        <is>
          <t>Ումից՝ Gadukyan   ·   09-07 18:45   ·   WhatsApp   ·   պատասխանատու՝ Gadukyan-ի թիմ   ·   Միջին</t>
        </is>
      </c>
      <c r="J228" s="72" t="n"/>
      <c r="K228" s="1" t="n"/>
    </row>
    <row r="229" ht="30" customHeight="1">
      <c r="A229" s="1" t="n"/>
      <c r="B229" s="70" t="n"/>
      <c r="C229" s="74" t="inlineStr">
        <is>
          <t>«մերոնք հարցնում են ոնց կարա 6 ամսվա մեջ ոչ մի պրոբլեմ ու ոչ մի հարց չլնի դրա հետ» → «Արխիտեկտուրա ճիշտա, թե դզելու բաներ կան, սովորելու կտորը օկ ա, թե չե, հենց մեյն բռդեք crm ն ասեք»</t>
        </is>
      </c>
      <c r="J229" s="72" t="n"/>
      <c r="K229" s="1" t="n"/>
    </row>
    <row r="230" ht="22" customHeight="1">
      <c r="A230" s="1" t="n"/>
      <c r="B230" s="70" t="n"/>
      <c r="C230" s="75" t="inlineStr">
        <is>
          <t>Լուծում՝ Հարցերին Հայկը պատասխանել է, թեթև թրեյնինգ արվել է</t>
        </is>
      </c>
      <c r="J230" s="72" t="n"/>
      <c r="K230" s="1" t="n"/>
    </row>
    <row r="231" ht="22" customHeight="1">
      <c r="A231" s="1" t="n"/>
      <c r="B231" s="70" t="n"/>
      <c r="C231" s="76" t="inlineStr">
        <is>
          <t>→  Ստանալ գրավոր եզրակացություն՝ ճարտարապետությունը ճի՞շտ է, ինչ է պետք դզել, և ինչ ռիսկ կա 6 ամսվա կտրվածքով</t>
        </is>
      </c>
      <c r="J231" s="72" t="n"/>
      <c r="K231" s="1" t="n"/>
    </row>
    <row r="232" ht="16" customHeight="1">
      <c r="A232" s="1" t="n"/>
      <c r="B232" s="77" t="n"/>
      <c r="C232" s="78" t="inlineStr">
        <is>
          <t>Ժամկետը՝ Իմ առաջարկը</t>
        </is>
      </c>
      <c r="D232" s="45" t="n"/>
      <c r="E232" s="45" t="n"/>
      <c r="F232" s="45" t="n"/>
      <c r="G232" s="45" t="n"/>
      <c r="H232" s="45" t="n"/>
      <c r="I232" s="45" t="n"/>
      <c r="J232" s="46" t="n"/>
      <c r="K232" s="1" t="n"/>
    </row>
    <row r="233" ht="8" customHeight="1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</row>
    <row r="234" ht="19" customHeight="1">
      <c r="A234" s="1" t="n"/>
      <c r="B234" s="82" t="n"/>
      <c r="C234" s="66" t="inlineStr">
        <is>
          <t>T-2026-09-07-05</t>
        </is>
      </c>
      <c r="D234" s="41" t="n"/>
      <c r="E234" s="41" t="n"/>
      <c r="F234" s="80" t="inlineStr">
        <is>
          <t>ՆՈՐ</t>
        </is>
      </c>
      <c r="G234" s="81" t="n"/>
      <c r="H234" s="88" t="inlineStr">
        <is>
          <t>10-01 · հնգ · 22 օր</t>
        </is>
      </c>
      <c r="I234" s="41" t="n"/>
      <c r="J234" s="42" t="n"/>
      <c r="K234" s="1" t="n"/>
    </row>
    <row r="235" ht="34" customHeight="1">
      <c r="A235" s="1" t="n"/>
      <c r="B235" s="70" t="n"/>
      <c r="C235" s="71" t="inlineStr">
        <is>
          <t>Հայեցակարգի իմպլեմենտացիա</t>
        </is>
      </c>
      <c r="J235" s="72" t="n"/>
      <c r="K235" s="1" t="n"/>
    </row>
    <row r="236" ht="15" customHeight="1">
      <c r="A236" s="1" t="n"/>
      <c r="B236" s="70" t="n"/>
      <c r="C236" s="73" t="inlineStr">
        <is>
          <t>Ումից՝ Gadukyan   ·   09-07 17:20   ·   WhatsApp   ·   պատասխանատու՝ Ես   ·   Միջին</t>
        </is>
      </c>
      <c r="J236" s="72" t="n"/>
      <c r="K236" s="1" t="n"/>
    </row>
    <row r="237" ht="30" customHeight="1">
      <c r="A237" s="1" t="n"/>
      <c r="B237" s="70" t="n"/>
      <c r="C237" s="74" t="inlineStr">
        <is>
          <t>«ու իմփլեմենթը դրա անենք մինրև ամսի 1ը … սա ներկայացնես միքանի հոգու»</t>
        </is>
      </c>
      <c r="J237" s="72" t="n"/>
      <c r="K237" s="1" t="n"/>
    </row>
    <row r="238" ht="22" customHeight="1">
      <c r="A238" s="1" t="n"/>
      <c r="B238" s="70" t="n"/>
      <c r="C238" s="75" t="inlineStr">
        <is>
          <t>Լուծում՝ —</t>
        </is>
      </c>
      <c r="J238" s="72" t="n"/>
      <c r="K238" s="1" t="n"/>
    </row>
    <row r="239" ht="22" customHeight="1">
      <c r="A239" s="1" t="n"/>
      <c r="B239" s="70" t="n"/>
      <c r="C239" s="76" t="inlineStr">
        <is>
          <t>→  Սահմանել՝ որ գործընթացներն են փոխվում, ինչ գործիք է գործարկվում, ով է օգտագործում, և ինչ է չափվում հետո</t>
        </is>
      </c>
      <c r="J239" s="72" t="n"/>
      <c r="K239" s="1" t="n"/>
    </row>
    <row r="240" ht="16" customHeight="1">
      <c r="A240" s="1" t="n"/>
      <c r="B240" s="77" t="n"/>
      <c r="C240" s="78" t="inlineStr">
        <is>
          <t>Ժամկետը՝ Քո նշածը   ·   Կախված է՝ T-2026-09-07-04</t>
        </is>
      </c>
      <c r="D240" s="45" t="n"/>
      <c r="E240" s="45" t="n"/>
      <c r="F240" s="45" t="n"/>
      <c r="G240" s="45" t="n"/>
      <c r="H240" s="45" t="n"/>
      <c r="I240" s="45" t="n"/>
      <c r="J240" s="46" t="n"/>
      <c r="K240" s="1" t="n"/>
    </row>
    <row r="241" ht="8" customHeight="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</row>
    <row r="242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</row>
    <row r="243" ht="26" customHeight="1">
      <c r="A243" s="1" t="n"/>
      <c r="B243" s="1" t="n"/>
      <c r="C243" s="47" t="inlineStr">
        <is>
          <t>ԺԱՄԿԵՏ ՉԿԱ</t>
        </is>
      </c>
      <c r="I243" s="48" t="inlineStr">
        <is>
          <t>1</t>
        </is>
      </c>
      <c r="K243" s="1" t="n"/>
    </row>
    <row r="244" ht="1.5" customHeight="1">
      <c r="A244" s="1" t="n"/>
      <c r="B244" s="1" t="n"/>
      <c r="C244" s="49" t="n"/>
      <c r="D244" s="49" t="n"/>
      <c r="E244" s="49" t="n"/>
      <c r="F244" s="49" t="n"/>
      <c r="G244" s="49" t="n"/>
      <c r="H244" s="49" t="n"/>
      <c r="I244" s="49" t="n"/>
      <c r="J244" s="49" t="n"/>
      <c r="K244" s="1" t="n"/>
    </row>
    <row r="245" ht="6" customHeight="1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</row>
    <row r="246" ht="19" customHeight="1">
      <c r="A246" s="1" t="n"/>
      <c r="B246" s="82" t="n"/>
      <c r="C246" s="66" t="inlineStr">
        <is>
          <t>T-2026-09-09-08</t>
        </is>
      </c>
      <c r="D246" s="41" t="n"/>
      <c r="E246" s="41" t="n"/>
      <c r="F246" s="83" t="inlineStr">
        <is>
          <t>ՍՊԱՍՈՒՄ</t>
        </is>
      </c>
      <c r="G246" s="84" t="n"/>
      <c r="H246" s="89" t="inlineStr">
        <is>
          <t>ժամկետ չկա</t>
        </is>
      </c>
      <c r="I246" s="41" t="n"/>
      <c r="J246" s="42" t="n"/>
      <c r="K246" s="1" t="n"/>
    </row>
    <row r="247" ht="34" customHeight="1">
      <c r="A247" s="1" t="n"/>
      <c r="B247" s="70" t="n"/>
      <c r="C247" s="71" t="inlineStr">
        <is>
          <t>Churn-ի պրեդիքշնի deploy-ը՝ Gadukyan-ից</t>
        </is>
      </c>
      <c r="J247" s="72" t="n"/>
      <c r="K247" s="1" t="n"/>
    </row>
    <row r="248" ht="15" customHeight="1">
      <c r="A248" s="1" t="n"/>
      <c r="B248" s="70" t="n"/>
      <c r="C248" s="73" t="inlineStr">
        <is>
          <t>Ումից՝ Ես   ·   09-09 12:46   ·   WhatsApp   ·   պատասխանատու՝ Gadukyan   ·   Միջին</t>
        </is>
      </c>
      <c r="J248" s="72" t="n"/>
      <c r="K248" s="1" t="n"/>
    </row>
    <row r="249" ht="30" customHeight="1">
      <c r="A249" s="1" t="n"/>
      <c r="B249" s="70" t="n"/>
      <c r="C249" s="74" t="inlineStr">
        <is>
          <t>«հա որտեղ նայեմ դա՞» → «deploy անեմ կտամ»</t>
        </is>
      </c>
      <c r="J249" s="72" t="n"/>
      <c r="K249" s="1" t="n"/>
    </row>
    <row r="250" ht="22" customHeight="1">
      <c r="A250" s="1" t="n"/>
      <c r="B250" s="70" t="n"/>
      <c r="C250" s="75" t="inlineStr">
        <is>
          <t>Լուծում՝ —</t>
        </is>
      </c>
      <c r="J250" s="72" t="n"/>
      <c r="K250" s="1" t="n"/>
    </row>
    <row r="251" ht="22" customHeight="1">
      <c r="A251" s="1" t="n"/>
      <c r="B251" s="70" t="n"/>
      <c r="C251" s="76" t="inlineStr">
        <is>
          <t>→  Ստանալ հասանելիությունը և նայել՝ ինչ է կանխատեսում և ինչի հիման վրա</t>
        </is>
      </c>
      <c r="J251" s="72" t="n"/>
      <c r="K251" s="1" t="n"/>
    </row>
    <row r="252" ht="16" customHeight="1">
      <c r="A252" s="1" t="n"/>
      <c r="B252" s="77" t="n"/>
      <c r="C252" s="78" t="inlineStr">
        <is>
          <t>Ժամկետը՝ Սպասում եմ Gadukyan-ից</t>
        </is>
      </c>
      <c r="D252" s="45" t="n"/>
      <c r="E252" s="45" t="n"/>
      <c r="F252" s="45" t="n"/>
      <c r="G252" s="45" t="n"/>
      <c r="H252" s="45" t="n"/>
      <c r="I252" s="45" t="n"/>
      <c r="J252" s="46" t="n"/>
      <c r="K252" s="1" t="n"/>
    </row>
    <row r="253" ht="8" customHeight="1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</row>
    <row r="254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</row>
    <row r="255" ht="26" customHeight="1">
      <c r="A255" s="1" t="n"/>
      <c r="B255" s="1" t="n"/>
      <c r="C255" s="90" t="inlineStr">
        <is>
          <t>ՓԱԿՎԱԾ</t>
        </is>
      </c>
      <c r="I255" s="91" t="inlineStr">
        <is>
          <t>1</t>
        </is>
      </c>
      <c r="K255" s="1" t="n"/>
    </row>
    <row r="256" ht="1.5" customHeight="1">
      <c r="A256" s="1" t="n"/>
      <c r="B256" s="1" t="n"/>
      <c r="C256" s="92" t="n"/>
      <c r="D256" s="92" t="n"/>
      <c r="E256" s="92" t="n"/>
      <c r="F256" s="92" t="n"/>
      <c r="G256" s="92" t="n"/>
      <c r="H256" s="92" t="n"/>
      <c r="I256" s="92" t="n"/>
      <c r="J256" s="92" t="n"/>
      <c r="K256" s="1" t="n"/>
    </row>
    <row r="257" ht="6" customHeight="1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</row>
    <row r="258" ht="19" customHeight="1">
      <c r="A258" s="1" t="n"/>
      <c r="B258" s="65" t="n"/>
      <c r="C258" s="66" t="inlineStr">
        <is>
          <t>T-2026-09-07-01</t>
        </is>
      </c>
      <c r="D258" s="41" t="n"/>
      <c r="E258" s="41" t="n"/>
      <c r="F258" s="93" t="inlineStr">
        <is>
          <t>ԿԱՏԱՐՎԱԾ</t>
        </is>
      </c>
      <c r="G258" s="94" t="n"/>
      <c r="H258" s="95" t="inlineStr">
        <is>
          <t>ՓԱԿՎԱԾ</t>
        </is>
      </c>
      <c r="I258" s="41" t="n"/>
      <c r="J258" s="42" t="n"/>
      <c r="K258" s="1" t="n"/>
    </row>
    <row r="259" ht="34" customHeight="1">
      <c r="A259" s="1" t="n"/>
      <c r="B259" s="70" t="n"/>
      <c r="C259" s="96" t="inlineStr">
        <is>
          <t>Հաստիքացուցակի նկարում ավելացնել կրիտիկական անհրաժեշտ հաստիքները</t>
        </is>
      </c>
      <c r="J259" s="72" t="n"/>
      <c r="K259" s="1" t="n"/>
    </row>
    <row r="260" ht="15" customHeight="1">
      <c r="A260" s="1" t="n"/>
      <c r="B260" s="70" t="n"/>
      <c r="C260" s="73" t="inlineStr">
        <is>
          <t>Ումից՝ Gadukyan   ·   09-07 16:17   ·   WhatsApp   ·   պատասխանատու՝ Ես   ·   Բարձր</t>
        </is>
      </c>
      <c r="J260" s="72" t="n"/>
      <c r="K260" s="1" t="n"/>
    </row>
    <row r="261" ht="30" customHeight="1">
      <c r="A261" s="1" t="n"/>
      <c r="B261" s="70" t="n"/>
      <c r="C261" s="74" t="inlineStr">
        <is>
          <t>«սա մի բան էլ փոխի, ու փորձեմ հաստատեմ … ստեղ կրիտիկական անհրաժեշտները ավելացրու տուր»</t>
        </is>
      </c>
      <c r="J261" s="72" t="n"/>
      <c r="K261" s="1" t="n"/>
    </row>
    <row r="262" ht="22" customHeight="1">
      <c r="A262" s="1" t="n"/>
      <c r="B262" s="70" t="n"/>
      <c r="C262" s="97" t="inlineStr">
        <is>
          <t>Լուծում՝ Ավելացվեցին կրիտիկական հաստիքները և վերաուղարկվեց նույն օրը</t>
        </is>
      </c>
      <c r="J262" s="72" t="n"/>
      <c r="K262" s="1" t="n"/>
    </row>
    <row r="263" ht="22" customHeight="1">
      <c r="A263" s="1" t="n"/>
      <c r="B263" s="70" t="n"/>
      <c r="C263" s="98" t="inlineStr">
        <is>
          <t>→  —</t>
        </is>
      </c>
      <c r="J263" s="72" t="n"/>
      <c r="K263" s="1" t="n"/>
    </row>
    <row r="264" ht="16" customHeight="1">
      <c r="A264" s="1" t="n"/>
      <c r="B264" s="77" t="n"/>
      <c r="C264" s="78" t="inlineStr">
        <is>
          <t>Ժամկետը՝ Քո նշածը   ·   Հաստիքացուցակը 09-09-ին հայտարարվեց վերջնական և հաստատված</t>
        </is>
      </c>
      <c r="D264" s="45" t="n"/>
      <c r="E264" s="45" t="n"/>
      <c r="F264" s="45" t="n"/>
      <c r="G264" s="45" t="n"/>
      <c r="H264" s="45" t="n"/>
      <c r="I264" s="45" t="n"/>
      <c r="J264" s="46" t="n"/>
      <c r="K264" s="1" t="n"/>
    </row>
    <row r="265" ht="8" customHeight="1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</row>
    <row r="266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</row>
    <row r="267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</row>
    <row r="268" ht="26" customHeight="1">
      <c r="A268" s="1" t="n"/>
      <c r="B268" s="1" t="n"/>
      <c r="C268" s="64" t="inlineStr">
        <is>
          <t>ՏՐՎԱԾ — ինչ եմ ես հանձնարարել</t>
        </is>
      </c>
      <c r="K268" s="1" t="n"/>
    </row>
    <row r="26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</row>
    <row r="270" ht="26" customHeight="1">
      <c r="A270" s="1" t="n"/>
      <c r="B270" s="1" t="n"/>
      <c r="C270" s="56" t="inlineStr">
        <is>
          <t>ԱՅՍՕՐ</t>
        </is>
      </c>
      <c r="I270" s="57" t="inlineStr">
        <is>
          <t>3</t>
        </is>
      </c>
      <c r="K270" s="1" t="n"/>
    </row>
    <row r="271" ht="1.5" customHeight="1">
      <c r="A271" s="1" t="n"/>
      <c r="B271" s="1" t="n"/>
      <c r="C271" s="38" t="n"/>
      <c r="D271" s="38" t="n"/>
      <c r="E271" s="38" t="n"/>
      <c r="F271" s="38" t="n"/>
      <c r="G271" s="38" t="n"/>
      <c r="H271" s="38" t="n"/>
      <c r="I271" s="38" t="n"/>
      <c r="J271" s="38" t="n"/>
      <c r="K271" s="1" t="n"/>
    </row>
    <row r="272" ht="6" customHeight="1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</row>
    <row r="273" ht="19" customHeight="1">
      <c r="A273" s="1" t="n"/>
      <c r="B273" s="65" t="n"/>
      <c r="C273" s="66" t="inlineStr">
        <is>
          <t>H-2026-09-08-02</t>
        </is>
      </c>
      <c r="D273" s="41" t="n"/>
      <c r="E273" s="41" t="n"/>
      <c r="F273" s="67" t="inlineStr">
        <is>
          <t>ԸՆԹԱՑՔՈՒՄ</t>
        </is>
      </c>
      <c r="G273" s="68" t="n"/>
      <c r="H273" s="69" t="inlineStr">
        <is>
          <t>ԱՅՍՕՐ · 09-09</t>
        </is>
      </c>
      <c r="I273" s="41" t="n"/>
      <c r="J273" s="42" t="n"/>
      <c r="K273" s="1" t="n"/>
    </row>
    <row r="274" ht="34" customHeight="1">
      <c r="A274" s="1" t="n"/>
      <c r="B274" s="70" t="n"/>
      <c r="C274" s="71" t="inlineStr">
        <is>
          <t>Գրել իր գործառույթների մանրամասն, քայլ առ քայլ նկարագիրը</t>
        </is>
      </c>
      <c r="J274" s="72" t="n"/>
      <c r="K274" s="1" t="n"/>
    </row>
    <row r="275" ht="15" customHeight="1">
      <c r="A275" s="1" t="n"/>
      <c r="B275" s="70" t="n"/>
      <c r="C275" s="73" t="inlineStr">
        <is>
          <t>Ում՝ Մագա   ·   տրվել՝ 09-08   ·   WhatsApp   ·   վերջին ստուգում՝ 09-09   ·   Բարձր</t>
        </is>
      </c>
      <c r="J275" s="72" t="n"/>
      <c r="K275" s="1" t="n"/>
    </row>
    <row r="276" ht="30" customHeight="1">
      <c r="A276" s="1" t="n"/>
      <c r="B276" s="70" t="n"/>
      <c r="C276" s="74" t="inlineStr">
        <is>
          <t>Ինչի համար՝ Ավտոմատացման և reconciliation-ի փոխանցման համար — T-2026-09-08-03</t>
        </is>
      </c>
      <c r="J276" s="72" t="n"/>
      <c r="K276" s="1" t="n"/>
    </row>
    <row r="277" ht="22" customHeight="1">
      <c r="A277" s="1" t="n"/>
      <c r="B277" s="70" t="n"/>
      <c r="C277" s="75" t="inlineStr">
        <is>
          <t>Ստացվածը՝ Առաջին տարբերակը՝ մակերեսային</t>
        </is>
      </c>
      <c r="J277" s="72" t="n"/>
      <c r="K277" s="1" t="n"/>
    </row>
    <row r="278" ht="22" customHeight="1">
      <c r="A278" s="1" t="n"/>
      <c r="B278" s="70" t="n"/>
      <c r="C278" s="76" t="inlineStr">
        <is>
          <t>→  Հաջորդ ստուգում՝ 09-09</t>
        </is>
      </c>
      <c r="J278" s="72" t="n"/>
      <c r="K278" s="1" t="n"/>
    </row>
    <row r="279" ht="16" customHeight="1">
      <c r="A279" s="1" t="n"/>
      <c r="B279" s="77" t="n"/>
      <c r="C279" s="78" t="inlineStr">
        <is>
          <t>09-09՝ Մագան անձամբ գալիս է ընդմիջումից հետո։ Gadukyan՝ «էսօր տվեք մանրամասն, շուտ անենք ուրբաթից խոդենք»</t>
        </is>
      </c>
      <c r="D279" s="45" t="n"/>
      <c r="E279" s="45" t="n"/>
      <c r="F279" s="45" t="n"/>
      <c r="G279" s="45" t="n"/>
      <c r="H279" s="45" t="n"/>
      <c r="I279" s="45" t="n"/>
      <c r="J279" s="46" t="n"/>
      <c r="K279" s="1" t="n"/>
    </row>
    <row r="280" ht="8" customHeight="1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</row>
    <row r="281" ht="19" customHeight="1">
      <c r="A281" s="1" t="n"/>
      <c r="B281" s="65" t="n"/>
      <c r="C281" s="66" t="inlineStr">
        <is>
          <t>H-2026-09-09-01</t>
        </is>
      </c>
      <c r="D281" s="41" t="n"/>
      <c r="E281" s="41" t="n"/>
      <c r="F281" s="80" t="inlineStr">
        <is>
          <t>ՆՈՐ</t>
        </is>
      </c>
      <c r="G281" s="81" t="n"/>
      <c r="H281" s="69" t="inlineStr">
        <is>
          <t>ԱՅՍՕՐ · 09-09</t>
        </is>
      </c>
      <c r="I281" s="41" t="n"/>
      <c r="J281" s="42" t="n"/>
      <c r="K281" s="1" t="n"/>
    </row>
    <row r="282" ht="34" customHeight="1">
      <c r="A282" s="1" t="n"/>
      <c r="B282" s="70" t="n"/>
      <c r="C282" s="71" t="inlineStr">
        <is>
          <t>Հեռավաճառքի օպերացիոն կտորը՝ ինչ են անում, ոնց են անում, ինչ սկրիպտով</t>
        </is>
      </c>
      <c r="J282" s="72" t="n"/>
      <c r="K282" s="1" t="n"/>
    </row>
    <row r="283" ht="15" customHeight="1">
      <c r="A283" s="1" t="n"/>
      <c r="B283" s="70" t="n"/>
      <c r="C283" s="73" t="inlineStr">
        <is>
          <t>Ում՝ Ռիչ   ·   տրվել՝ 09-09   ·   Բանավոր   ·   վերջին ստուգում՝ —   ·   Բարձր</t>
        </is>
      </c>
      <c r="J283" s="72" t="n"/>
      <c r="K283" s="1" t="n"/>
    </row>
    <row r="284" ht="30" customHeight="1">
      <c r="A284" s="1" t="n"/>
      <c r="B284" s="70" t="n"/>
      <c r="C284" s="74" t="inlineStr">
        <is>
          <t>Ինչի համար՝ Մտնում է վաճառքի ռազմավարության մեջ — T-2026-09-09-01</t>
        </is>
      </c>
      <c r="J284" s="72" t="n"/>
      <c r="K284" s="1" t="n"/>
    </row>
    <row r="285" ht="22" customHeight="1">
      <c r="A285" s="1" t="n"/>
      <c r="B285" s="70" t="n"/>
      <c r="C285" s="75" t="inlineStr">
        <is>
          <t>Ստացվածը՝ դեռ ոչինչ</t>
        </is>
      </c>
      <c r="J285" s="72" t="n"/>
      <c r="K285" s="1" t="n"/>
    </row>
    <row r="286" ht="22" customHeight="1">
      <c r="A286" s="1" t="n"/>
      <c r="B286" s="70" t="n"/>
      <c r="C286" s="76" t="inlineStr">
        <is>
          <t>→  Հաջորդ ստուգում՝ 09-09</t>
        </is>
      </c>
      <c r="J286" s="72" t="n"/>
      <c r="K286" s="1" t="n"/>
    </row>
    <row r="287" ht="16" customHeight="1">
      <c r="A287" s="1" t="n"/>
      <c r="B287" s="77" t="n"/>
      <c r="C287" s="78" t="inlineStr">
        <is>
          <t>Հինգշաբթի ժողովից առաջ պետք է պատրաստ լինի</t>
        </is>
      </c>
      <c r="D287" s="45" t="n"/>
      <c r="E287" s="45" t="n"/>
      <c r="F287" s="45" t="n"/>
      <c r="G287" s="45" t="n"/>
      <c r="H287" s="45" t="n"/>
      <c r="I287" s="45" t="n"/>
      <c r="J287" s="46" t="n"/>
      <c r="K287" s="1" t="n"/>
    </row>
    <row r="288" ht="8" customHeight="1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</row>
    <row r="289" ht="19" customHeight="1">
      <c r="A289" s="1" t="n"/>
      <c r="B289" s="65" t="n"/>
      <c r="C289" s="66" t="inlineStr">
        <is>
          <t>H-2026-09-09-02</t>
        </is>
      </c>
      <c r="D289" s="41" t="n"/>
      <c r="E289" s="41" t="n"/>
      <c r="F289" s="80" t="inlineStr">
        <is>
          <t>ՆՈՐ</t>
        </is>
      </c>
      <c r="G289" s="81" t="n"/>
      <c r="H289" s="69" t="inlineStr">
        <is>
          <t>ԱՅՍՕՐ · 09-09</t>
        </is>
      </c>
      <c r="I289" s="41" t="n"/>
      <c r="J289" s="42" t="n"/>
      <c r="K289" s="1" t="n"/>
    </row>
    <row r="290" ht="34" customHeight="1">
      <c r="A290" s="1" t="n"/>
      <c r="B290" s="70" t="n"/>
      <c r="C290" s="71" t="inlineStr">
        <is>
          <t>Ստանձնել retention-ի flow-ը՝ Համոյի փոխարեն</t>
        </is>
      </c>
      <c r="J290" s="72" t="n"/>
      <c r="K290" s="1" t="n"/>
    </row>
    <row r="291" ht="15" customHeight="1">
      <c r="A291" s="1" t="n"/>
      <c r="B291" s="70" t="n"/>
      <c r="C291" s="73" t="inlineStr">
        <is>
          <t>Ում՝ Ռիչ   ·   տրվել՝ 09-09   ·   Բանավոր   ·   վերջին ստուգում՝ —   ·   Բարձր</t>
        </is>
      </c>
      <c r="J291" s="72" t="n"/>
      <c r="K291" s="1" t="n"/>
    </row>
    <row r="292" ht="30" customHeight="1">
      <c r="A292" s="1" t="n"/>
      <c r="B292" s="70" t="n"/>
      <c r="C292" s="74" t="inlineStr">
        <is>
          <t>Ինչի համար՝ Churn-ը կանգնեցնելու համար — T-2026-09-09-03</t>
        </is>
      </c>
      <c r="J292" s="72" t="n"/>
      <c r="K292" s="1" t="n"/>
    </row>
    <row r="293" ht="22" customHeight="1">
      <c r="A293" s="1" t="n"/>
      <c r="B293" s="70" t="n"/>
      <c r="C293" s="75" t="inlineStr">
        <is>
          <t>Ստացվածը՝ դեռ ոչինչ</t>
        </is>
      </c>
      <c r="J293" s="72" t="n"/>
      <c r="K293" s="1" t="n"/>
    </row>
    <row r="294" ht="22" customHeight="1">
      <c r="A294" s="1" t="n"/>
      <c r="B294" s="70" t="n"/>
      <c r="C294" s="76" t="inlineStr">
        <is>
          <t>→  Հաջորդ ստուգում՝ 09-10</t>
        </is>
      </c>
      <c r="J294" s="72" t="n"/>
      <c r="K294" s="1" t="n"/>
    </row>
    <row r="295" ht="16" customHeight="1">
      <c r="A295" s="1" t="n"/>
      <c r="B295" s="77" t="n"/>
      <c r="C295" s="78" t="inlineStr">
        <is>
          <t>Զանգերը գնում են հեռավաճառքի վրա՝ մինչև retention մասնագետ ունենանք</t>
        </is>
      </c>
      <c r="D295" s="45" t="n"/>
      <c r="E295" s="45" t="n"/>
      <c r="F295" s="45" t="n"/>
      <c r="G295" s="45" t="n"/>
      <c r="H295" s="45" t="n"/>
      <c r="I295" s="45" t="n"/>
      <c r="J295" s="46" t="n"/>
      <c r="K295" s="1" t="n"/>
    </row>
    <row r="296" ht="8" customHeight="1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</row>
    <row r="297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</row>
    <row r="298" ht="26" customHeight="1">
      <c r="A298" s="1" t="n"/>
      <c r="B298" s="1" t="n"/>
      <c r="C298" s="56" t="inlineStr">
        <is>
          <t>ՎԱՂԸ</t>
        </is>
      </c>
      <c r="I298" s="57" t="inlineStr">
        <is>
          <t>4</t>
        </is>
      </c>
      <c r="K298" s="1" t="n"/>
    </row>
    <row r="299" ht="1.5" customHeight="1">
      <c r="A299" s="1" t="n"/>
      <c r="B299" s="1" t="n"/>
      <c r="C299" s="38" t="n"/>
      <c r="D299" s="38" t="n"/>
      <c r="E299" s="38" t="n"/>
      <c r="F299" s="38" t="n"/>
      <c r="G299" s="38" t="n"/>
      <c r="H299" s="38" t="n"/>
      <c r="I299" s="38" t="n"/>
      <c r="J299" s="38" t="n"/>
      <c r="K299" s="1" t="n"/>
    </row>
    <row r="300" ht="6" customHeight="1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</row>
    <row r="301" ht="19" customHeight="1">
      <c r="A301" s="1" t="n"/>
      <c r="B301" s="65" t="n"/>
      <c r="C301" s="66" t="inlineStr">
        <is>
          <t>H-2026-09-05-02</t>
        </is>
      </c>
      <c r="D301" s="41" t="n"/>
      <c r="E301" s="41" t="n"/>
      <c r="F301" s="67" t="inlineStr">
        <is>
          <t>ԸՆԹԱՑՔՈՒՄ</t>
        </is>
      </c>
      <c r="G301" s="68" t="n"/>
      <c r="H301" s="69" t="inlineStr">
        <is>
          <t>ՎԱՂԸ · 09-10 · հինգշաբթի</t>
        </is>
      </c>
      <c r="I301" s="41" t="n"/>
      <c r="J301" s="42" t="n"/>
      <c r="K301" s="1" t="n"/>
    </row>
    <row r="302" ht="34" customHeight="1">
      <c r="A302" s="1" t="n"/>
      <c r="B302" s="70" t="n"/>
      <c r="C302" s="71" t="inlineStr">
        <is>
          <t>Բիլինգի տեխնիկական բնութագիրը տալ (ոչ մեթոդոլոգիա)</t>
        </is>
      </c>
      <c r="J302" s="72" t="n"/>
      <c r="K302" s="1" t="n"/>
    </row>
    <row r="303" ht="15" customHeight="1">
      <c r="A303" s="1" t="n"/>
      <c r="B303" s="70" t="n"/>
      <c r="C303" s="73" t="inlineStr">
        <is>
          <t>Ում՝ Մագա   ·   տրվել՝ 09-05   ·   Բանավոր   ·   վերջին ստուգում՝ 09-07   ·   Բարձր</t>
        </is>
      </c>
      <c r="J303" s="72" t="n"/>
      <c r="K303" s="1" t="n"/>
    </row>
    <row r="304" ht="30" customHeight="1">
      <c r="A304" s="1" t="n"/>
      <c r="B304" s="70" t="n"/>
      <c r="C304" s="74" t="inlineStr">
        <is>
          <t>Ինչի համար՝ Ըստ դրա Gadukyan-ը տալու է ճիշտ թվեր</t>
        </is>
      </c>
      <c r="J304" s="72" t="n"/>
      <c r="K304" s="1" t="n"/>
    </row>
    <row r="305" ht="22" customHeight="1">
      <c r="A305" s="1" t="n"/>
      <c r="B305" s="70" t="n"/>
      <c r="C305" s="75" t="inlineStr">
        <is>
          <t>Ստացվածը՝ Ստացվել է մեթոդոլոգիա, ոչ տեխնիկական բնութագիր</t>
        </is>
      </c>
      <c r="J305" s="72" t="n"/>
      <c r="K305" s="1" t="n"/>
    </row>
    <row r="306" ht="22" customHeight="1">
      <c r="A306" s="1" t="n"/>
      <c r="B306" s="70" t="n"/>
      <c r="C306" s="76" t="inlineStr">
        <is>
          <t>→  Հաջորդ ստուգում՝ 09-10</t>
        </is>
      </c>
      <c r="J306" s="72" t="n"/>
      <c r="K306" s="1" t="n"/>
    </row>
    <row r="307" ht="16" customHeight="1">
      <c r="A307" s="1" t="n"/>
      <c r="B307" s="77" t="n"/>
      <c r="C307" s="78" t="inlineStr">
        <is>
          <t>Հայկը կպցվել է օգնելու</t>
        </is>
      </c>
      <c r="D307" s="45" t="n"/>
      <c r="E307" s="45" t="n"/>
      <c r="F307" s="45" t="n"/>
      <c r="G307" s="45" t="n"/>
      <c r="H307" s="45" t="n"/>
      <c r="I307" s="45" t="n"/>
      <c r="J307" s="46" t="n"/>
      <c r="K307" s="1" t="n"/>
    </row>
    <row r="308" ht="8" customHeight="1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</row>
    <row r="309" ht="19" customHeight="1">
      <c r="A309" s="1" t="n"/>
      <c r="B309" s="65" t="n"/>
      <c r="C309" s="66" t="inlineStr">
        <is>
          <t>H-2026-09-07-01</t>
        </is>
      </c>
      <c r="D309" s="41" t="n"/>
      <c r="E309" s="41" t="n"/>
      <c r="F309" s="83" t="inlineStr">
        <is>
          <t>ՍՊԱՍՈՒՄ</t>
        </is>
      </c>
      <c r="G309" s="84" t="n"/>
      <c r="H309" s="69" t="inlineStr">
        <is>
          <t>ՎԱՂԸ · 09-10 · հինգշաբթի</t>
        </is>
      </c>
      <c r="I309" s="41" t="n"/>
      <c r="J309" s="42" t="n"/>
      <c r="K309" s="1" t="n"/>
    </row>
    <row r="310" ht="34" customHeight="1">
      <c r="A310" s="1" t="n"/>
      <c r="B310" s="70" t="n"/>
      <c r="C310" s="71" t="inlineStr">
        <is>
          <t>Բերել բոլոր հնարավոր պատճառները՝ ինչու է ակտիվների քանակը իջնում ~300-ով, հետո բարձրանում</t>
        </is>
      </c>
      <c r="J310" s="72" t="n"/>
      <c r="K310" s="1" t="n"/>
    </row>
    <row r="311" ht="15" customHeight="1">
      <c r="A311" s="1" t="n"/>
      <c r="B311" s="70" t="n"/>
      <c r="C311" s="73" t="inlineStr">
        <is>
          <t>Ում՝ Մագա   ·   տրվել՝ 09-07   ·   Բանավոր   ·   վերջին ստուգում՝ 09-07   ·   Բարձր</t>
        </is>
      </c>
      <c r="J311" s="72" t="n"/>
      <c r="K311" s="1" t="n"/>
    </row>
    <row r="312" ht="30" customHeight="1">
      <c r="A312" s="1" t="n"/>
      <c r="B312" s="70" t="n"/>
      <c r="C312" s="74" t="inlineStr">
        <is>
          <t>Ինչի համար՝ Gadukyan-ը թվերում հստակ խնդիր է տեսնում</t>
        </is>
      </c>
      <c r="J312" s="72" t="n"/>
      <c r="K312" s="1" t="n"/>
    </row>
    <row r="313" ht="22" customHeight="1">
      <c r="A313" s="1" t="n"/>
      <c r="B313" s="70" t="n"/>
      <c r="C313" s="75" t="inlineStr">
        <is>
          <t>Ստացվածը՝ դեռ ոչինչ</t>
        </is>
      </c>
      <c r="J313" s="72" t="n"/>
      <c r="K313" s="1" t="n"/>
    </row>
    <row r="314" ht="22" customHeight="1">
      <c r="A314" s="1" t="n"/>
      <c r="B314" s="70" t="n"/>
      <c r="C314" s="76" t="inlineStr">
        <is>
          <t>→  Հաջորդ ստուգում՝ 09-10</t>
        </is>
      </c>
      <c r="J314" s="72" t="n"/>
      <c r="K314" s="1" t="n"/>
    </row>
    <row r="315" ht="16" customHeight="1">
      <c r="A315" s="1" t="n"/>
      <c r="B315" s="77" t="n"/>
      <c r="C315" s="78" t="inlineStr">
        <is>
          <t>Պետք է հանի տարբեր ռեփորթներ։ Հնարավոր է կապված լինի T-2026-09-07-10-ի հետ</t>
        </is>
      </c>
      <c r="D315" s="45" t="n"/>
      <c r="E315" s="45" t="n"/>
      <c r="F315" s="45" t="n"/>
      <c r="G315" s="45" t="n"/>
      <c r="H315" s="45" t="n"/>
      <c r="I315" s="45" t="n"/>
      <c r="J315" s="46" t="n"/>
      <c r="K315" s="1" t="n"/>
    </row>
    <row r="316" ht="8" customHeight="1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</row>
    <row r="317" ht="19" customHeight="1">
      <c r="A317" s="1" t="n"/>
      <c r="B317" s="65" t="n"/>
      <c r="C317" s="66" t="inlineStr">
        <is>
          <t>H-2026-09-08-01</t>
        </is>
      </c>
      <c r="D317" s="41" t="n"/>
      <c r="E317" s="41" t="n"/>
      <c r="F317" s="83" t="inlineStr">
        <is>
          <t>ՍՊԱՍՈՒՄ</t>
        </is>
      </c>
      <c r="G317" s="84" t="n"/>
      <c r="H317" s="69" t="inlineStr">
        <is>
          <t>ՎԱՂԸ · 09-10 11:00 · հինգշաբթի</t>
        </is>
      </c>
      <c r="I317" s="41" t="n"/>
      <c r="J317" s="42" t="n"/>
      <c r="K317" s="1" t="n"/>
    </row>
    <row r="318" ht="34" customHeight="1">
      <c r="A318" s="1" t="n"/>
      <c r="B318" s="70" t="n"/>
      <c r="C318" s="71" t="inlineStr">
        <is>
          <t>Բոլոր իրավաբանական անձանց մոտ բիլինգում ուղղել ՀՎՀՀ-ն</t>
        </is>
      </c>
      <c r="J318" s="72" t="n"/>
      <c r="K318" s="1" t="n"/>
    </row>
    <row r="319" ht="15" customHeight="1">
      <c r="A319" s="1" t="n"/>
      <c r="B319" s="70" t="n"/>
      <c r="C319" s="73" t="inlineStr">
        <is>
          <t>Ում՝ Մագա   ·   տրվել՝ 09-08   ·   Bitrix24   ·   վերջին ստուգում՝ 09-09   ·   Բարձր</t>
        </is>
      </c>
      <c r="J319" s="72" t="n"/>
      <c r="K319" s="1" t="n"/>
    </row>
    <row r="320" ht="30" customHeight="1">
      <c r="A320" s="1" t="n"/>
      <c r="B320" s="70" t="n"/>
      <c r="C320" s="74" t="inlineStr">
        <is>
          <t>Ինչի համար՝ Որ reconciliation-ը աշխատի — T-2026-09-08-02</t>
        </is>
      </c>
      <c r="J320" s="72" t="n"/>
      <c r="K320" s="1" t="n"/>
    </row>
    <row r="321" ht="22" customHeight="1">
      <c r="A321" s="1" t="n"/>
      <c r="B321" s="70" t="n"/>
      <c r="C321" s="75" t="inlineStr">
        <is>
          <t>Ստացվածը՝ դեռ ոչինչ</t>
        </is>
      </c>
      <c r="J321" s="72" t="n"/>
      <c r="K321" s="1" t="n"/>
    </row>
    <row r="322" ht="22" customHeight="1">
      <c r="A322" s="1" t="n"/>
      <c r="B322" s="70" t="n"/>
      <c r="C322" s="76" t="inlineStr">
        <is>
          <t>→  Հաջորդ ստուգում՝ 09-10</t>
        </is>
      </c>
      <c r="J322" s="72" t="n"/>
      <c r="K322" s="1" t="n"/>
    </row>
    <row r="323" ht="16" customHeight="1">
      <c r="A323" s="1" t="n"/>
      <c r="B323" s="77" t="n"/>
      <c r="C323" s="78" t="inlineStr">
        <is>
          <t>Bitrix24 թասկ՝ ժամկետը 09-10, 11:00   ·   Իրական թասկը Bitrix24-ում է</t>
        </is>
      </c>
      <c r="D323" s="45" t="n"/>
      <c r="E323" s="45" t="n"/>
      <c r="F323" s="45" t="n"/>
      <c r="G323" s="45" t="n"/>
      <c r="H323" s="45" t="n"/>
      <c r="I323" s="45" t="n"/>
      <c r="J323" s="46" t="n"/>
      <c r="K323" s="1" t="n"/>
    </row>
    <row r="324" ht="8" customHeight="1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</row>
    <row r="325" ht="19" customHeight="1">
      <c r="A325" s="1" t="n"/>
      <c r="B325" s="65" t="n"/>
      <c r="C325" s="66" t="inlineStr">
        <is>
          <t>H-2026-09-09-03</t>
        </is>
      </c>
      <c r="D325" s="41" t="n"/>
      <c r="E325" s="41" t="n"/>
      <c r="F325" s="80" t="inlineStr">
        <is>
          <t>ՆՈՐ</t>
        </is>
      </c>
      <c r="G325" s="81" t="n"/>
      <c r="H325" s="69" t="inlineStr">
        <is>
          <t>ՎԱՂԸ · 09-10 · հինգշաբթի</t>
        </is>
      </c>
      <c r="I325" s="41" t="n"/>
      <c r="J325" s="42" t="n"/>
      <c r="K325" s="1" t="n"/>
    </row>
    <row r="326" ht="34" customHeight="1">
      <c r="A326" s="1" t="n"/>
      <c r="B326" s="70" t="n"/>
      <c r="C326" s="71" t="inlineStr">
        <is>
          <t>save-list-ը մշակել՝ բաժանել և սկսել զանգերը</t>
        </is>
      </c>
      <c r="J326" s="72" t="n"/>
      <c r="K326" s="1" t="n"/>
    </row>
    <row r="327" ht="15" customHeight="1">
      <c r="A327" s="1" t="n"/>
      <c r="B327" s="70" t="n"/>
      <c r="C327" s="73" t="inlineStr">
        <is>
          <t>Ում՝ Անահիտ + Մագա   ·   տրվել՝ 09-09   ·   Բանավոր   ·   վերջին ստուգում՝ —   ·   Բարձր</t>
        </is>
      </c>
      <c r="J327" s="72" t="n"/>
      <c r="K327" s="1" t="n"/>
    </row>
    <row r="328" ht="30" customHeight="1">
      <c r="A328" s="1" t="n"/>
      <c r="B328" s="70" t="n"/>
      <c r="C328" s="74" t="inlineStr">
        <is>
          <t>Ինչի համար՝ Gadukyan-ը ուղարկել է ցանկը — T-2026-09-09-06</t>
        </is>
      </c>
      <c r="J328" s="72" t="n"/>
      <c r="K328" s="1" t="n"/>
    </row>
    <row r="329" ht="22" customHeight="1">
      <c r="A329" s="1" t="n"/>
      <c r="B329" s="70" t="n"/>
      <c r="C329" s="75" t="inlineStr">
        <is>
          <t>Ստացվածը՝ դեռ ոչինչ</t>
        </is>
      </c>
      <c r="J329" s="72" t="n"/>
      <c r="K329" s="1" t="n"/>
    </row>
    <row r="330" ht="22" customHeight="1">
      <c r="A330" s="1" t="n"/>
      <c r="B330" s="70" t="n"/>
      <c r="C330" s="76" t="inlineStr">
        <is>
          <t>→  Հաջորդ ստուգում՝ 09-10</t>
        </is>
      </c>
      <c r="J330" s="72" t="n"/>
      <c r="K330" s="1" t="n"/>
    </row>
    <row r="331" ht="16" customHeight="1">
      <c r="A331" s="1" t="n"/>
      <c r="B331" s="77" t="n"/>
      <c r="C331" s="78" t="inlineStr">
        <is>
          <t>Ցանկը կարելի է 2 մասի բաժանել՝ Մագայի և Անահիտի վրա</t>
        </is>
      </c>
      <c r="D331" s="45" t="n"/>
      <c r="E331" s="45" t="n"/>
      <c r="F331" s="45" t="n"/>
      <c r="G331" s="45" t="n"/>
      <c r="H331" s="45" t="n"/>
      <c r="I331" s="45" t="n"/>
      <c r="J331" s="46" t="n"/>
      <c r="K331" s="1" t="n"/>
    </row>
    <row r="332" ht="8" customHeight="1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</row>
    <row r="333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</row>
    <row r="334" ht="26" customHeight="1">
      <c r="A334" s="1" t="n"/>
      <c r="B334" s="1" t="n"/>
      <c r="C334" s="85" t="inlineStr">
        <is>
          <t>ԱՌԱՋԻԿԱ</t>
        </is>
      </c>
      <c r="I334" s="86" t="inlineStr">
        <is>
          <t>2</t>
        </is>
      </c>
      <c r="K334" s="1" t="n"/>
    </row>
    <row r="335" ht="1.5" customHeight="1">
      <c r="A335" s="1" t="n"/>
      <c r="B335" s="1" t="n"/>
      <c r="C335" s="87" t="n"/>
      <c r="D335" s="87" t="n"/>
      <c r="E335" s="87" t="n"/>
      <c r="F335" s="87" t="n"/>
      <c r="G335" s="87" t="n"/>
      <c r="H335" s="87" t="n"/>
      <c r="I335" s="87" t="n"/>
      <c r="J335" s="87" t="n"/>
      <c r="K335" s="1" t="n"/>
    </row>
    <row r="336" ht="6" customHeight="1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</row>
    <row r="337" ht="19" customHeight="1">
      <c r="A337" s="1" t="n"/>
      <c r="B337" s="82" t="n"/>
      <c r="C337" s="66" t="inlineStr">
        <is>
          <t>H-2026-09-05-01</t>
        </is>
      </c>
      <c r="D337" s="41" t="n"/>
      <c r="E337" s="41" t="n"/>
      <c r="F337" s="67" t="inlineStr">
        <is>
          <t>ԸՆԹԱՑՔՈՒՄ</t>
        </is>
      </c>
      <c r="G337" s="68" t="n"/>
      <c r="H337" s="88" t="inlineStr">
        <is>
          <t>09-11 · ուրբ · 2 օր</t>
        </is>
      </c>
      <c r="I337" s="41" t="n"/>
      <c r="J337" s="42" t="n"/>
      <c r="K337" s="1" t="n"/>
    </row>
    <row r="338" ht="34" customHeight="1">
      <c r="A338" s="1" t="n"/>
      <c r="B338" s="70" t="n"/>
      <c r="C338" s="71" t="inlineStr">
        <is>
          <t>JD-ները և որակավորման պահանջները նայել յուրաքանչյուրն իր մասով և ՕԿ տալ</t>
        </is>
      </c>
      <c r="J338" s="72" t="n"/>
      <c r="K338" s="1" t="n"/>
    </row>
    <row r="339" ht="15" customHeight="1">
      <c r="A339" s="1" t="n"/>
      <c r="B339" s="70" t="n"/>
      <c r="C339" s="73" t="inlineStr">
        <is>
          <t>Ում՝ Բոլոր ղեկավարներ   ·   տրվել՝ 09-05   ·   WhatsApp   ·   վերջին ստուգում՝ 09-09   ·   Միջին</t>
        </is>
      </c>
      <c r="J339" s="72" t="n"/>
      <c r="K339" s="1" t="n"/>
    </row>
    <row r="340" ht="30" customHeight="1">
      <c r="A340" s="1" t="n"/>
      <c r="B340" s="70" t="n"/>
      <c r="C340" s="74" t="inlineStr">
        <is>
          <t>Ինչի համար՝ Հաստիքացուցակի հետ մեկ պաշտոնական փաստաթուղթ դառնալու համար</t>
        </is>
      </c>
      <c r="J340" s="72" t="n"/>
      <c r="K340" s="1" t="n"/>
    </row>
    <row r="341" ht="22" customHeight="1">
      <c r="A341" s="1" t="n"/>
      <c r="B341" s="70" t="n"/>
      <c r="C341" s="75" t="inlineStr">
        <is>
          <t>Ստացվածը՝ Ընդհանուր ՕԿ կա, մանրամասն դիտողությունները ընթացքում են</t>
        </is>
      </c>
      <c r="J341" s="72" t="n"/>
      <c r="K341" s="1" t="n"/>
    </row>
    <row r="342" ht="22" customHeight="1">
      <c r="A342" s="1" t="n"/>
      <c r="B342" s="70" t="n"/>
      <c r="C342" s="76" t="inlineStr">
        <is>
          <t>→  Հաջորդ ստուգում՝ 09-11</t>
        </is>
      </c>
      <c r="J342" s="72" t="n"/>
      <c r="K342" s="1" t="n"/>
    </row>
    <row r="343" ht="16" customHeight="1">
      <c r="A343" s="1" t="n"/>
      <c r="B343" s="77" t="n"/>
      <c r="C343" s="78" t="inlineStr">
        <is>
          <t>Բոլորին ուղարկված է, նայում են</t>
        </is>
      </c>
      <c r="D343" s="45" t="n"/>
      <c r="E343" s="45" t="n"/>
      <c r="F343" s="45" t="n"/>
      <c r="G343" s="45" t="n"/>
      <c r="H343" s="45" t="n"/>
      <c r="I343" s="45" t="n"/>
      <c r="J343" s="46" t="n"/>
      <c r="K343" s="1" t="n"/>
    </row>
    <row r="344" ht="8" customHeight="1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</row>
    <row r="345" ht="19" customHeight="1">
      <c r="A345" s="1" t="n"/>
      <c r="B345" s="82" t="n"/>
      <c r="C345" s="66" t="inlineStr">
        <is>
          <t>H-2026-09-08-03</t>
        </is>
      </c>
      <c r="D345" s="41" t="n"/>
      <c r="E345" s="41" t="n"/>
      <c r="F345" s="83" t="inlineStr">
        <is>
          <t>ՍՊԱՍՈՒՄ</t>
        </is>
      </c>
      <c r="G345" s="84" t="n"/>
      <c r="H345" s="88" t="inlineStr">
        <is>
          <t>09-11 · ուրբ · 2 օր</t>
        </is>
      </c>
      <c r="I345" s="41" t="n"/>
      <c r="J345" s="42" t="n"/>
      <c r="K345" s="1" t="n"/>
    </row>
    <row r="346" ht="34" customHeight="1">
      <c r="A346" s="1" t="n"/>
      <c r="B346" s="70" t="n"/>
      <c r="C346" s="71" t="inlineStr">
        <is>
          <t>Կարդալ բիլինգի հայերեն փաստաթղթերը և տալ եզրակացություն</t>
        </is>
      </c>
      <c r="J346" s="72" t="n"/>
      <c r="K346" s="1" t="n"/>
    </row>
    <row r="347" ht="15" customHeight="1">
      <c r="A347" s="1" t="n"/>
      <c r="B347" s="70" t="n"/>
      <c r="C347" s="73" t="inlineStr">
        <is>
          <t>Ում՝ Մագա   ·   տրվել՝ 09-08   ·   WhatsApp   ·   վերջին ստուգում՝ 09-08   ·   Միջին</t>
        </is>
      </c>
      <c r="J347" s="72" t="n"/>
      <c r="K347" s="1" t="n"/>
    </row>
    <row r="348" ht="30" customHeight="1">
      <c r="A348" s="1" t="n"/>
      <c r="B348" s="70" t="n"/>
      <c r="C348" s="74" t="inlineStr">
        <is>
          <t>Ինչի համար՝ Որ ներսում էլ հասկանան համակարգը</t>
        </is>
      </c>
      <c r="J348" s="72" t="n"/>
      <c r="K348" s="1" t="n"/>
    </row>
    <row r="349" ht="22" customHeight="1">
      <c r="A349" s="1" t="n"/>
      <c r="B349" s="70" t="n"/>
      <c r="C349" s="75" t="inlineStr">
        <is>
          <t>Ստացվածը՝ դեռ ոչինչ</t>
        </is>
      </c>
      <c r="J349" s="72" t="n"/>
      <c r="K349" s="1" t="n"/>
    </row>
    <row r="350" ht="22" customHeight="1">
      <c r="A350" s="1" t="n"/>
      <c r="B350" s="70" t="n"/>
      <c r="C350" s="76" t="inlineStr">
        <is>
          <t>→  Հաջորդ ստուգում՝ 09-11</t>
        </is>
      </c>
      <c r="J350" s="72" t="n"/>
      <c r="K350" s="1" t="n"/>
    </row>
    <row r="351" ht="16" customHeight="1">
      <c r="A351" s="1" t="n"/>
      <c r="B351" s="77" t="n"/>
      <c r="C351" s="78" t="inlineStr">
        <is>
          <t>—</t>
        </is>
      </c>
      <c r="D351" s="45" t="n"/>
      <c r="E351" s="45" t="n"/>
      <c r="F351" s="45" t="n"/>
      <c r="G351" s="45" t="n"/>
      <c r="H351" s="45" t="n"/>
      <c r="I351" s="45" t="n"/>
      <c r="J351" s="46" t="n"/>
      <c r="K351" s="1" t="n"/>
    </row>
    <row r="352" ht="8" customHeight="1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</row>
    <row r="353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</row>
    <row r="354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</row>
    <row r="355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</row>
    <row r="356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</row>
    <row r="357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</row>
    <row r="358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</row>
    <row r="35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</row>
    <row r="360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</row>
    <row r="361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</row>
    <row r="362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</row>
    <row r="363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</row>
    <row r="364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</row>
    <row r="365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</row>
    <row r="366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</row>
    <row r="367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</row>
    <row r="368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</row>
    <row r="36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</row>
    <row r="370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</row>
    <row r="371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</row>
    <row r="372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</row>
    <row r="373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</row>
    <row r="374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</row>
    <row r="375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</row>
    <row r="376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</row>
    <row r="377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</row>
    <row r="378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</row>
    <row r="37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</row>
    <row r="380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</row>
    <row r="381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</row>
    <row r="382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</row>
    <row r="383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</row>
    <row r="384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</row>
    <row r="385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</row>
    <row r="386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</row>
    <row r="387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</row>
    <row r="388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</row>
    <row r="38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</row>
    <row r="390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</row>
    <row r="391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</row>
    <row r="392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</row>
    <row r="393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</row>
    <row r="394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</row>
    <row r="395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</row>
    <row r="396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</row>
    <row r="397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</row>
    <row r="398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</row>
    <row r="39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</row>
    <row r="400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</row>
    <row r="401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</row>
    <row r="402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</row>
    <row r="403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</row>
    <row r="404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</row>
    <row r="405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</row>
    <row r="406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</row>
    <row r="407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</row>
    <row r="408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</row>
    <row r="40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</row>
    <row r="410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</row>
    <row r="411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</row>
    <row r="412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</row>
    <row r="413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</row>
    <row r="414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</row>
    <row r="415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</row>
    <row r="416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</row>
    <row r="417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</row>
    <row r="418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</row>
    <row r="41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</row>
    <row r="420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</row>
    <row r="421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</row>
    <row r="422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</row>
    <row r="423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</row>
    <row r="424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</row>
    <row r="425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</row>
    <row r="426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</row>
    <row r="427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</row>
    <row r="428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</row>
    <row r="42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</row>
    <row r="430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</row>
    <row r="431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</row>
    <row r="432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</row>
    <row r="433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</row>
    <row r="434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</row>
    <row r="435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</row>
    <row r="436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</row>
    <row r="437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</row>
    <row r="438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</row>
    <row r="43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</row>
    <row r="440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</row>
    <row r="441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</row>
    <row r="442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</row>
    <row r="443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</row>
    <row r="444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</row>
    <row r="445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</row>
    <row r="446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</row>
    <row r="447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</row>
    <row r="448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</row>
    <row r="44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</row>
    <row r="450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</row>
    <row r="451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</row>
    <row r="452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</row>
    <row r="453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</row>
    <row r="454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</row>
    <row r="455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</row>
    <row r="456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</row>
    <row r="457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</row>
    <row r="458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</row>
    <row r="45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</row>
    <row r="460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</row>
  </sheetData>
  <mergeCells count="410">
    <mergeCell ref="C285:J285"/>
    <mergeCell ref="F118:G118"/>
    <mergeCell ref="B325:B331"/>
    <mergeCell ref="C113:J113"/>
    <mergeCell ref="C103:J103"/>
    <mergeCell ref="C194:E194"/>
    <mergeCell ref="C230:J230"/>
    <mergeCell ref="C205:J205"/>
    <mergeCell ref="H317:J317"/>
    <mergeCell ref="C180:J180"/>
    <mergeCell ref="C311:J311"/>
    <mergeCell ref="C238:J238"/>
    <mergeCell ref="H273:J273"/>
    <mergeCell ref="C232:J232"/>
    <mergeCell ref="C11:J11"/>
    <mergeCell ref="F134:G134"/>
    <mergeCell ref="H150:J150"/>
    <mergeCell ref="C182:J182"/>
    <mergeCell ref="C18:E18"/>
    <mergeCell ref="C34:E34"/>
    <mergeCell ref="C74:E74"/>
    <mergeCell ref="I270:J270"/>
    <mergeCell ref="C309:E309"/>
    <mergeCell ref="C131:J131"/>
    <mergeCell ref="C87:J87"/>
    <mergeCell ref="H226:J226"/>
    <mergeCell ref="C118:E118"/>
    <mergeCell ref="C24:J24"/>
    <mergeCell ref="C195:J195"/>
    <mergeCell ref="C322:J322"/>
    <mergeCell ref="C260:J260"/>
    <mergeCell ref="C116:J116"/>
    <mergeCell ref="C187:J187"/>
    <mergeCell ref="C88:J88"/>
    <mergeCell ref="C259:J259"/>
    <mergeCell ref="C1:J1"/>
    <mergeCell ref="F18:G18"/>
    <mergeCell ref="F42:G42"/>
    <mergeCell ref="C55:J55"/>
    <mergeCell ref="F66:G66"/>
    <mergeCell ref="F126:G126"/>
    <mergeCell ref="F345:G345"/>
    <mergeCell ref="B66:B72"/>
    <mergeCell ref="C115:J115"/>
    <mergeCell ref="C258:E258"/>
    <mergeCell ref="C213:J213"/>
    <mergeCell ref="F317:G317"/>
    <mergeCell ref="B301:B307"/>
    <mergeCell ref="C190:J190"/>
    <mergeCell ref="C26:E26"/>
    <mergeCell ref="C37:J37"/>
    <mergeCell ref="C304:J304"/>
    <mergeCell ref="C248:J248"/>
    <mergeCell ref="C235:J235"/>
    <mergeCell ref="H178:J178"/>
    <mergeCell ref="C14:J14"/>
    <mergeCell ref="H218:J218"/>
    <mergeCell ref="B246:B252"/>
    <mergeCell ref="I298:J298"/>
    <mergeCell ref="C137:J137"/>
    <mergeCell ref="C150:E150"/>
    <mergeCell ref="C330:J330"/>
    <mergeCell ref="C124:J124"/>
    <mergeCell ref="C139:J139"/>
    <mergeCell ref="C188:J188"/>
    <mergeCell ref="C138:J138"/>
    <mergeCell ref="C27:J27"/>
    <mergeCell ref="C76:J76"/>
    <mergeCell ref="C132:J132"/>
    <mergeCell ref="C203:J203"/>
    <mergeCell ref="C119:J119"/>
    <mergeCell ref="C210:E210"/>
    <mergeCell ref="H10:J10"/>
    <mergeCell ref="H102:J102"/>
    <mergeCell ref="C327:J327"/>
    <mergeCell ref="C334:H334"/>
    <mergeCell ref="I255:J255"/>
    <mergeCell ref="C134:E134"/>
    <mergeCell ref="B82:B88"/>
    <mergeCell ref="C108:J108"/>
    <mergeCell ref="C279:J279"/>
    <mergeCell ref="C90:E90"/>
    <mergeCell ref="C45:J45"/>
    <mergeCell ref="C216:J216"/>
    <mergeCell ref="C343:J343"/>
    <mergeCell ref="C47:J47"/>
    <mergeCell ref="H186:J186"/>
    <mergeCell ref="C274:J274"/>
    <mergeCell ref="C84:J84"/>
    <mergeCell ref="C22:J22"/>
    <mergeCell ref="C320:J320"/>
    <mergeCell ref="C40:J40"/>
    <mergeCell ref="B110:B116"/>
    <mergeCell ref="C282:J282"/>
    <mergeCell ref="B202:B208"/>
    <mergeCell ref="C51:J51"/>
    <mergeCell ref="F186:G186"/>
    <mergeCell ref="B18:B24"/>
    <mergeCell ref="F82:G82"/>
    <mergeCell ref="C281:E281"/>
    <mergeCell ref="C140:J140"/>
    <mergeCell ref="C218:E218"/>
    <mergeCell ref="C345:E345"/>
    <mergeCell ref="C229:J229"/>
    <mergeCell ref="C77:J77"/>
    <mergeCell ref="C204:J204"/>
    <mergeCell ref="C275:J275"/>
    <mergeCell ref="H110:J110"/>
    <mergeCell ref="C35:J35"/>
    <mergeCell ref="F158:G158"/>
    <mergeCell ref="C206:J206"/>
    <mergeCell ref="C143:J143"/>
    <mergeCell ref="C59:J59"/>
    <mergeCell ref="C130:J130"/>
    <mergeCell ref="C295:J295"/>
    <mergeCell ref="C46:J46"/>
    <mergeCell ref="C61:J61"/>
    <mergeCell ref="H134:J134"/>
    <mergeCell ref="C159:J159"/>
    <mergeCell ref="C48:J48"/>
    <mergeCell ref="C153:J153"/>
    <mergeCell ref="C224:J224"/>
    <mergeCell ref="C346:J346"/>
    <mergeCell ref="H202:J202"/>
    <mergeCell ref="H58:J58"/>
    <mergeCell ref="C161:J161"/>
    <mergeCell ref="C348:J348"/>
    <mergeCell ref="C323:J323"/>
    <mergeCell ref="C154:J154"/>
    <mergeCell ref="C156:J156"/>
    <mergeCell ref="C250:J250"/>
    <mergeCell ref="C212:J212"/>
    <mergeCell ref="C16:J16"/>
    <mergeCell ref="B142:B148"/>
    <mergeCell ref="C276:J276"/>
    <mergeCell ref="C214:J214"/>
    <mergeCell ref="H42:J42"/>
    <mergeCell ref="C303:J303"/>
    <mergeCell ref="H126:J126"/>
    <mergeCell ref="C36:J36"/>
    <mergeCell ref="C207:J207"/>
    <mergeCell ref="C278:J278"/>
    <mergeCell ref="C67:J67"/>
    <mergeCell ref="I99:J99"/>
    <mergeCell ref="C69:J69"/>
    <mergeCell ref="C96:J96"/>
    <mergeCell ref="C301:E301"/>
    <mergeCell ref="C62:J62"/>
    <mergeCell ref="F202:G202"/>
    <mergeCell ref="B186:B192"/>
    <mergeCell ref="C64:J64"/>
    <mergeCell ref="C306:J306"/>
    <mergeCell ref="C162:J162"/>
    <mergeCell ref="C227:J227"/>
    <mergeCell ref="C349:J349"/>
    <mergeCell ref="F325:G325"/>
    <mergeCell ref="C93:J93"/>
    <mergeCell ref="C164:J164"/>
    <mergeCell ref="C291:J291"/>
    <mergeCell ref="C222:J222"/>
    <mergeCell ref="C251:J251"/>
    <mergeCell ref="H50:J50"/>
    <mergeCell ref="C240:J240"/>
    <mergeCell ref="B170:B176"/>
    <mergeCell ref="C19:J19"/>
    <mergeCell ref="C342:J342"/>
    <mergeCell ref="C111:J111"/>
    <mergeCell ref="C86:J86"/>
    <mergeCell ref="C83:J83"/>
    <mergeCell ref="C226:E226"/>
    <mergeCell ref="C255:H255"/>
    <mergeCell ref="C319:J319"/>
    <mergeCell ref="C175:J175"/>
    <mergeCell ref="H281:J281"/>
    <mergeCell ref="F246:G246"/>
    <mergeCell ref="C294:J294"/>
    <mergeCell ref="I334:J334"/>
    <mergeCell ref="C152:J152"/>
    <mergeCell ref="C82:E82"/>
    <mergeCell ref="H170:J170"/>
    <mergeCell ref="C12:J12"/>
    <mergeCell ref="B150:B156"/>
    <mergeCell ref="C317:E317"/>
    <mergeCell ref="C298:H298"/>
    <mergeCell ref="H234:J234"/>
    <mergeCell ref="C70:J70"/>
    <mergeCell ref="C312:J312"/>
    <mergeCell ref="C228:J228"/>
    <mergeCell ref="C58:E58"/>
    <mergeCell ref="C292:J292"/>
    <mergeCell ref="C307:J307"/>
    <mergeCell ref="F234:G234"/>
    <mergeCell ref="C167:H167"/>
    <mergeCell ref="B178:B184"/>
    <mergeCell ref="B34:B40"/>
    <mergeCell ref="B234:B240"/>
    <mergeCell ref="C20:J20"/>
    <mergeCell ref="H66:J66"/>
    <mergeCell ref="C196:J196"/>
    <mergeCell ref="C318:J318"/>
    <mergeCell ref="C85:J85"/>
    <mergeCell ref="C112:J112"/>
    <mergeCell ref="H158:J158"/>
    <mergeCell ref="C183:J183"/>
    <mergeCell ref="H289:J289"/>
    <mergeCell ref="H301:J301"/>
    <mergeCell ref="C127:J127"/>
    <mergeCell ref="C198:J198"/>
    <mergeCell ref="C176:J176"/>
    <mergeCell ref="C114:J114"/>
    <mergeCell ref="C247:J247"/>
    <mergeCell ref="F170:G170"/>
    <mergeCell ref="C325:E325"/>
    <mergeCell ref="C38:J38"/>
    <mergeCell ref="B102:B108"/>
    <mergeCell ref="C246:E246"/>
    <mergeCell ref="C13:J13"/>
    <mergeCell ref="C249:J249"/>
    <mergeCell ref="B337:B343"/>
    <mergeCell ref="C338:J338"/>
    <mergeCell ref="C15:J15"/>
    <mergeCell ref="C313:J313"/>
    <mergeCell ref="C107:J107"/>
    <mergeCell ref="C104:J104"/>
    <mergeCell ref="C340:J340"/>
    <mergeCell ref="C79:J79"/>
    <mergeCell ref="C315:J315"/>
    <mergeCell ref="C171:J171"/>
    <mergeCell ref="C231:J231"/>
    <mergeCell ref="C178:E178"/>
    <mergeCell ref="C302:J302"/>
    <mergeCell ref="I7:J7"/>
    <mergeCell ref="C121:J121"/>
    <mergeCell ref="I243:J243"/>
    <mergeCell ref="C173:J173"/>
    <mergeCell ref="F273:G273"/>
    <mergeCell ref="H337:J337"/>
    <mergeCell ref="B50:B56"/>
    <mergeCell ref="H309:J309"/>
    <mergeCell ref="C135:J135"/>
    <mergeCell ref="B273:B279"/>
    <mergeCell ref="C328:J328"/>
    <mergeCell ref="C262:J262"/>
    <mergeCell ref="F337:G337"/>
    <mergeCell ref="C122:J122"/>
    <mergeCell ref="C72:J72"/>
    <mergeCell ref="H118:J118"/>
    <mergeCell ref="C28:J28"/>
    <mergeCell ref="C199:J199"/>
    <mergeCell ref="C326:J326"/>
    <mergeCell ref="C10:E10"/>
    <mergeCell ref="C136:J136"/>
    <mergeCell ref="C92:J92"/>
    <mergeCell ref="F178:G178"/>
    <mergeCell ref="C30:J30"/>
    <mergeCell ref="C263:J263"/>
    <mergeCell ref="B226:B232"/>
    <mergeCell ref="H194:J194"/>
    <mergeCell ref="C54:J54"/>
    <mergeCell ref="C321:J321"/>
    <mergeCell ref="F194:G194"/>
    <mergeCell ref="C146:J146"/>
    <mergeCell ref="F50:G50"/>
    <mergeCell ref="H258:J258"/>
    <mergeCell ref="F110:G110"/>
    <mergeCell ref="C277:J277"/>
    <mergeCell ref="C252:J252"/>
    <mergeCell ref="C56:J56"/>
    <mergeCell ref="B194:B200"/>
    <mergeCell ref="H18:J18"/>
    <mergeCell ref="C105:J105"/>
    <mergeCell ref="C43:J43"/>
    <mergeCell ref="C186:E186"/>
    <mergeCell ref="B218:B224"/>
    <mergeCell ref="C341:J341"/>
    <mergeCell ref="C123:J123"/>
    <mergeCell ref="C120:J120"/>
    <mergeCell ref="H26:J26"/>
    <mergeCell ref="H82:J82"/>
    <mergeCell ref="C174:J174"/>
    <mergeCell ref="C189:J189"/>
    <mergeCell ref="B58:B64"/>
    <mergeCell ref="H142:J142"/>
    <mergeCell ref="C128:J128"/>
    <mergeCell ref="B118:B124"/>
    <mergeCell ref="B289:B295"/>
    <mergeCell ref="C29:J29"/>
    <mergeCell ref="C200:J200"/>
    <mergeCell ref="H246:J246"/>
    <mergeCell ref="C110:E110"/>
    <mergeCell ref="C94:J94"/>
    <mergeCell ref="C44:J44"/>
    <mergeCell ref="C31:J31"/>
    <mergeCell ref="C80:J80"/>
    <mergeCell ref="C329:J329"/>
    <mergeCell ref="C129:J129"/>
    <mergeCell ref="C95:J95"/>
    <mergeCell ref="C60:J60"/>
    <mergeCell ref="C331:J331"/>
    <mergeCell ref="B134:B140"/>
    <mergeCell ref="F258:G258"/>
    <mergeCell ref="F58:G58"/>
    <mergeCell ref="C347:J347"/>
    <mergeCell ref="C268:J268"/>
    <mergeCell ref="C91:J91"/>
    <mergeCell ref="H74:J74"/>
    <mergeCell ref="C155:J155"/>
    <mergeCell ref="C293:J293"/>
    <mergeCell ref="C220:J220"/>
    <mergeCell ref="F289:G289"/>
    <mergeCell ref="B210:B216"/>
    <mergeCell ref="B10:B16"/>
    <mergeCell ref="C99:H99"/>
    <mergeCell ref="C270:H270"/>
    <mergeCell ref="C142:E142"/>
    <mergeCell ref="C202:E202"/>
    <mergeCell ref="H325:J325"/>
    <mergeCell ref="C151:J151"/>
    <mergeCell ref="C284:J284"/>
    <mergeCell ref="C197:J197"/>
    <mergeCell ref="C215:J215"/>
    <mergeCell ref="F142:G142"/>
    <mergeCell ref="C261:J261"/>
    <mergeCell ref="C75:J75"/>
    <mergeCell ref="B126:B132"/>
    <mergeCell ref="H210:J210"/>
    <mergeCell ref="C52:J52"/>
    <mergeCell ref="C39:J39"/>
    <mergeCell ref="C144:J144"/>
    <mergeCell ref="C42:E42"/>
    <mergeCell ref="C106:J106"/>
    <mergeCell ref="F210:G210"/>
    <mergeCell ref="H345:J345"/>
    <mergeCell ref="C126:E126"/>
    <mergeCell ref="C32:J32"/>
    <mergeCell ref="F226:G226"/>
    <mergeCell ref="C208:J208"/>
    <mergeCell ref="C339:J339"/>
    <mergeCell ref="C145:J145"/>
    <mergeCell ref="F10:G10"/>
    <mergeCell ref="F34:G34"/>
    <mergeCell ref="F74:G74"/>
    <mergeCell ref="C273:E273"/>
    <mergeCell ref="B158:B164"/>
    <mergeCell ref="B74:B80"/>
    <mergeCell ref="C63:J63"/>
    <mergeCell ref="C305:J305"/>
    <mergeCell ref="C337:E337"/>
    <mergeCell ref="C221:J221"/>
    <mergeCell ref="C286:J286"/>
    <mergeCell ref="B309:B315"/>
    <mergeCell ref="C236:J236"/>
    <mergeCell ref="C163:J163"/>
    <mergeCell ref="B26:B32"/>
    <mergeCell ref="C223:J223"/>
    <mergeCell ref="C170:E170"/>
    <mergeCell ref="C350:J350"/>
    <mergeCell ref="F150:G150"/>
    <mergeCell ref="C2:J2"/>
    <mergeCell ref="C287:J287"/>
    <mergeCell ref="C264:J264"/>
    <mergeCell ref="B42:B48"/>
    <mergeCell ref="F281:G281"/>
    <mergeCell ref="C78:J78"/>
    <mergeCell ref="C50:E50"/>
    <mergeCell ref="C314:J314"/>
    <mergeCell ref="F218:G218"/>
    <mergeCell ref="B258:B264"/>
    <mergeCell ref="C191:J191"/>
    <mergeCell ref="F309:G309"/>
    <mergeCell ref="C172:J172"/>
    <mergeCell ref="C184:J184"/>
    <mergeCell ref="C147:J147"/>
    <mergeCell ref="H90:J90"/>
    <mergeCell ref="C211:J211"/>
    <mergeCell ref="C158:E158"/>
    <mergeCell ref="C289:E289"/>
    <mergeCell ref="C148:J148"/>
    <mergeCell ref="C71:J71"/>
    <mergeCell ref="F102:G102"/>
    <mergeCell ref="B90:B96"/>
    <mergeCell ref="C234:E234"/>
    <mergeCell ref="C237:J237"/>
    <mergeCell ref="H34:J34"/>
    <mergeCell ref="C53:J53"/>
    <mergeCell ref="C351:J351"/>
    <mergeCell ref="C179:J179"/>
    <mergeCell ref="B317:B323"/>
    <mergeCell ref="C68:J68"/>
    <mergeCell ref="C239:J239"/>
    <mergeCell ref="C310:J310"/>
    <mergeCell ref="C160:J160"/>
    <mergeCell ref="C5:J5"/>
    <mergeCell ref="C290:J290"/>
    <mergeCell ref="F301:G301"/>
    <mergeCell ref="F26:G26"/>
    <mergeCell ref="C7:H7"/>
    <mergeCell ref="C243:H243"/>
    <mergeCell ref="B281:B287"/>
    <mergeCell ref="C66:E66"/>
    <mergeCell ref="C21:J21"/>
    <mergeCell ref="C192:J192"/>
    <mergeCell ref="C102:E102"/>
    <mergeCell ref="F90:G90"/>
    <mergeCell ref="B345:B351"/>
    <mergeCell ref="I167:J167"/>
    <mergeCell ref="C219:J219"/>
    <mergeCell ref="C23:J23"/>
    <mergeCell ref="C181:J181"/>
    <mergeCell ref="C283:J28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8539E"/>
    <outlinePr summaryBelow="1" summaryRight="1"/>
    <pageSetUpPr/>
  </sheetPr>
  <dimension ref="A1:S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1" customWidth="1" min="2" max="2"/>
    <col width="7" customWidth="1" min="3" max="3"/>
    <col width="13" customWidth="1" min="4" max="4"/>
    <col width="11" customWidth="1" min="5" max="5"/>
    <col width="40" customWidth="1" min="6" max="6"/>
    <col width="44" customWidth="1" min="7" max="7"/>
    <col width="12" customWidth="1" min="8" max="8"/>
    <col width="11" customWidth="1" min="9" max="9"/>
    <col width="12" customWidth="1" min="10" max="10"/>
    <col width="14" customWidth="1" min="11" max="11"/>
    <col width="18" customWidth="1" min="12" max="12"/>
    <col width="36" customWidth="1" min="13" max="13"/>
    <col width="36" customWidth="1" min="14" max="14"/>
    <col width="24" customWidth="1" min="15" max="15"/>
    <col width="16" customWidth="1" min="16" max="16"/>
    <col width="11" customWidth="1" min="17" max="17"/>
    <col width="20" customWidth="1" min="18" max="18"/>
    <col width="38" customWidth="1" min="19" max="19"/>
  </cols>
  <sheetData>
    <row r="1" ht="34" customHeight="1">
      <c r="A1" s="99" t="inlineStr">
        <is>
          <t>ID</t>
        </is>
      </c>
      <c r="B1" s="99" t="inlineStr">
        <is>
          <t>Ստացվել է</t>
        </is>
      </c>
      <c r="C1" s="99" t="inlineStr">
        <is>
          <t>Ժամ</t>
        </is>
      </c>
      <c r="D1" s="99" t="inlineStr">
        <is>
          <t>Ումից</t>
        </is>
      </c>
      <c r="E1" s="99" t="inlineStr">
        <is>
          <t>Ալիք</t>
        </is>
      </c>
      <c r="F1" s="99" t="inlineStr">
        <is>
          <t>Առաջադրանք</t>
        </is>
      </c>
      <c r="G1" s="99" t="inlineStr">
        <is>
          <t>Բնօրինակ տեքստ</t>
        </is>
      </c>
      <c r="H1" s="99" t="inlineStr">
        <is>
          <t>Վերջնաժամկետ</t>
        </is>
      </c>
      <c r="I1" s="99" t="inlineStr">
        <is>
          <t>Առաջնահերթ.</t>
        </is>
      </c>
      <c r="J1" s="99" t="inlineStr">
        <is>
          <t>Կարգավիճակ</t>
        </is>
      </c>
      <c r="K1" s="99" t="inlineStr">
        <is>
          <t>Պատասխանատու</t>
        </is>
      </c>
      <c r="L1" s="99" t="inlineStr">
        <is>
          <t>Կախված է</t>
        </is>
      </c>
      <c r="M1" s="99" t="inlineStr">
        <is>
          <t>Լուծում</t>
        </is>
      </c>
      <c r="N1" s="99" t="inlineStr">
        <is>
          <t>Հաջորդ քայլ</t>
        </is>
      </c>
      <c r="O1" s="99" t="inlineStr">
        <is>
          <t>Արդյունք</t>
        </is>
      </c>
      <c r="P1" s="99" t="inlineStr">
        <is>
          <t>Bitrix24</t>
        </is>
      </c>
      <c r="Q1" s="99" t="inlineStr">
        <is>
          <t>Փակվել է</t>
        </is>
      </c>
      <c r="R1" s="99" t="inlineStr">
        <is>
          <t>Ժամկետի աղբյուր</t>
        </is>
      </c>
      <c r="S1" s="99" t="inlineStr">
        <is>
          <t>Նշում</t>
        </is>
      </c>
    </row>
    <row r="2" ht="46" customHeight="1">
      <c r="A2" s="100" t="inlineStr">
        <is>
          <t>T-2026-09-07-01</t>
        </is>
      </c>
      <c r="B2" s="101" t="n">
        <v>46272</v>
      </c>
      <c r="C2" s="100" t="inlineStr">
        <is>
          <t>16:17</t>
        </is>
      </c>
      <c r="D2" s="100" t="inlineStr">
        <is>
          <t>Gadukyan</t>
        </is>
      </c>
      <c r="E2" s="100" t="inlineStr">
        <is>
          <t>WhatsApp</t>
        </is>
      </c>
      <c r="F2" s="102" t="inlineStr">
        <is>
          <t>Հաստիքացուցակի նկարում ավելացնել կրիտիկական անհրաժեշտ հաստիքները</t>
        </is>
      </c>
      <c r="G2" s="102" t="inlineStr">
        <is>
          <t>«սա մի բան էլ փոխի, ու փորձեմ հաստատեմ … ստեղ կրիտիկական անհրաժեշտները ավելացրու տուր»</t>
        </is>
      </c>
      <c r="H2" s="101" t="n">
        <v>46272</v>
      </c>
      <c r="I2" s="100" t="inlineStr">
        <is>
          <t>Բարձր</t>
        </is>
      </c>
      <c r="J2" s="100" t="inlineStr">
        <is>
          <t>Կատարված</t>
        </is>
      </c>
      <c r="K2" s="100" t="inlineStr">
        <is>
          <t>Ես</t>
        </is>
      </c>
      <c r="L2" s="100" t="inlineStr"/>
      <c r="M2" s="102" t="inlineStr">
        <is>
          <t>Ավելացվեցին կրիտիկական հաստիքները և վերաուղարկվեց նույն օրը</t>
        </is>
      </c>
      <c r="N2" s="102" t="inlineStr"/>
      <c r="O2" s="102" t="inlineStr">
        <is>
          <t>Ուղարկված փաստաթուղթ՝ 09-07 16:58</t>
        </is>
      </c>
      <c r="P2" s="100" t="inlineStr"/>
      <c r="Q2" s="101" t="n">
        <v>46272</v>
      </c>
      <c r="R2" s="100" t="inlineStr">
        <is>
          <t>Քո նշածը</t>
        </is>
      </c>
      <c r="S2" s="102" t="inlineStr">
        <is>
          <t>Հաստիքացուցակը 09-09-ին հայտարարվեց վերջնական և հաստատված</t>
        </is>
      </c>
    </row>
    <row r="3" ht="46" customHeight="1">
      <c r="A3" s="100" t="inlineStr">
        <is>
          <t>T-2026-09-07-02</t>
        </is>
      </c>
      <c r="B3" s="101" t="n">
        <v>46272</v>
      </c>
      <c r="C3" s="100" t="inlineStr">
        <is>
          <t>17:17</t>
        </is>
      </c>
      <c r="D3" s="100" t="inlineStr">
        <is>
          <t>Gadukyan</t>
        </is>
      </c>
      <c r="E3" s="100" t="inlineStr">
        <is>
          <t>WhatsApp</t>
        </is>
      </c>
      <c r="F3" s="102" t="inlineStr">
        <is>
          <t>Ներկայացնել կոնկրետ վաճառքի ռազմավարություն՝ բոլոր ուղղություններով</t>
        </is>
      </c>
      <c r="G3" s="102" t="inlineStr">
        <is>
          <t>«5 շաբթի ինձ ներկայացրեք /ոչ թե գեներացրեք/ կոնկրետ սաղ ուղղություններով ստրատեգիա … առանց վաճառքի ստրատեգիա՝ առաջ չենք գնալու»</t>
        </is>
      </c>
      <c r="H3" s="101" t="n">
        <v>46275</v>
      </c>
      <c r="I3" s="100" t="inlineStr">
        <is>
          <t>Բարձր</t>
        </is>
      </c>
      <c r="J3" s="100" t="inlineStr">
        <is>
          <t>Ընթացքում</t>
        </is>
      </c>
      <c r="K3" s="100" t="inlineStr">
        <is>
          <t>Ես</t>
        </is>
      </c>
      <c r="L3" s="100" t="inlineStr">
        <is>
          <t>T-2026-09-09-01</t>
        </is>
      </c>
      <c r="M3" s="102" t="inlineStr">
        <is>
          <t>Հիմքը գրված է՝ «Վաճառքի կարճաժամկետ ռազմավարություն.docx»՝ D2D-ն ամբողջական, թվերով, կանգնեցման կանոններով</t>
        </is>
      </c>
      <c r="N3" s="102" t="inlineStr">
        <is>
          <t>Ավելացնել հեռավաճառքի օպերացիոն մանրամասնումը և կորպորատիվ բաժինը, հետո հավաքել ներկայացման տեսքի</t>
        </is>
      </c>
      <c r="O3" s="102" t="inlineStr">
        <is>
          <t>Առաջին տարբերակը ուղարկված է 09-08 15:02</t>
        </is>
      </c>
      <c r="P3" s="100" t="inlineStr"/>
      <c r="Q3" s="100" t="n"/>
      <c r="R3" s="100" t="inlineStr">
        <is>
          <t>Քո նշածը</t>
        </is>
      </c>
      <c r="S3" s="102" t="inlineStr">
        <is>
          <t>«5 շաբթի» = հինգշաբթի = 09-10։ Ներկայացումը ժողովին է՝ T-2026-09-09-02</t>
        </is>
      </c>
    </row>
    <row r="4" ht="46" customHeight="1">
      <c r="A4" s="100" t="inlineStr">
        <is>
          <t>T-2026-09-07-03</t>
        </is>
      </c>
      <c r="B4" s="101" t="n">
        <v>46272</v>
      </c>
      <c r="C4" s="100" t="inlineStr">
        <is>
          <t>17:18</t>
        </is>
      </c>
      <c r="D4" s="100" t="inlineStr">
        <is>
          <t>Gadukyan</t>
        </is>
      </c>
      <c r="E4" s="100" t="inlineStr">
        <is>
          <t>WhatsApp</t>
        </is>
      </c>
      <c r="F4" s="102" t="inlineStr">
        <is>
          <t>AI/ծրագրի մաս 1՝ ներկայացնել որտեղ ինչ ես տեսնում</t>
        </is>
      </c>
      <c r="G4" s="102" t="inlineStr">
        <is>
          <t>«անում ենք 2 կտորով՝ առաջինը վաղը ինձ ներկայացնում ես որտեղ ինչ ես տեսնում /քո ծրագիրը կարաս ցույց տաս, կարաս ցույց չտաս, կարանք 0ից գրենք/»</t>
        </is>
      </c>
      <c r="H4" s="101" t="n">
        <v>46274</v>
      </c>
      <c r="I4" s="100" t="inlineStr">
        <is>
          <t>Բարձր</t>
        </is>
      </c>
      <c r="J4" s="100" t="inlineStr">
        <is>
          <t>Ընթացքում</t>
        </is>
      </c>
      <c r="K4" s="100" t="inlineStr">
        <is>
          <t>Ես</t>
        </is>
      </c>
      <c r="L4" s="100" t="inlineStr"/>
      <c r="M4" s="102" t="inlineStr">
        <is>
          <t>Աշխատանքը ընթացքի մեջ է հենց հիմա</t>
        </is>
      </c>
      <c r="N4" s="102" t="inlineStr">
        <is>
          <t>Ավարտել և ներկայացնել՝ կոնկրետ Հաուսի համար, ոչ ընդհանուր ծրագրի մասին</t>
        </is>
      </c>
      <c r="O4" s="102" t="inlineStr"/>
      <c r="P4" s="100" t="inlineStr"/>
      <c r="Q4" s="100" t="n"/>
      <c r="R4" s="100" t="inlineStr">
        <is>
          <t>Իմ նոր ժամկետը (սկզբնականը՝ 09-08)</t>
        </is>
      </c>
      <c r="S4" s="102" t="inlineStr">
        <is>
          <t>Սկզբնական ժամկետը 09-08 էր, չի հասցվել. նոր ժամկետը՝ այսօր</t>
        </is>
      </c>
    </row>
    <row r="5" ht="46" customHeight="1">
      <c r="A5" s="100" t="inlineStr">
        <is>
          <t>T-2026-09-07-04</t>
        </is>
      </c>
      <c r="B5" s="101" t="n">
        <v>46272</v>
      </c>
      <c r="C5" s="100" t="inlineStr">
        <is>
          <t>17:19</t>
        </is>
      </c>
      <c r="D5" s="100" t="inlineStr">
        <is>
          <t>Gadukyan</t>
        </is>
      </c>
      <c r="E5" s="100" t="inlineStr">
        <is>
          <t>WhatsApp</t>
        </is>
      </c>
      <c r="F5" s="102" t="inlineStr">
        <is>
          <t>Վերջնական հայեցակարգ՝ AI տրանսֆորմացիա</t>
        </is>
      </c>
      <c r="G5" s="102" t="inlineStr">
        <is>
          <t>«քոմենթում եմ ու ամսի 15 ին ունենում ենք վերջական հայեցակարգ»</t>
        </is>
      </c>
      <c r="H5" s="101" t="n">
        <v>46280</v>
      </c>
      <c r="I5" s="100" t="inlineStr">
        <is>
          <t>Բարձր</t>
        </is>
      </c>
      <c r="J5" s="100" t="inlineStr">
        <is>
          <t>Նոր</t>
        </is>
      </c>
      <c r="K5" s="100" t="inlineStr">
        <is>
          <t>Ես</t>
        </is>
      </c>
      <c r="L5" s="100" t="inlineStr">
        <is>
          <t>T-2026-09-07-03</t>
        </is>
      </c>
      <c r="M5" s="102" t="inlineStr"/>
      <c r="N5" s="102" t="inlineStr">
        <is>
          <t>Մաս 1-ից և քոմենթներից հետո հավաքել վերջնականը՝ ընթացիկ վիճակ, թիրախային վիճակ, անցման քայլեր, ժամկետներ</t>
        </is>
      </c>
      <c r="O5" s="102" t="inlineStr"/>
      <c r="P5" s="100" t="inlineStr"/>
      <c r="Q5" s="100" t="n"/>
      <c r="R5" s="100" t="inlineStr">
        <is>
          <t>Քո նշածը</t>
        </is>
      </c>
      <c r="S5" s="102" t="inlineStr"/>
    </row>
    <row r="6" ht="46" customHeight="1">
      <c r="A6" s="100" t="inlineStr">
        <is>
          <t>T-2026-09-07-05</t>
        </is>
      </c>
      <c r="B6" s="101" t="n">
        <v>46272</v>
      </c>
      <c r="C6" s="100" t="inlineStr">
        <is>
          <t>17:20</t>
        </is>
      </c>
      <c r="D6" s="100" t="inlineStr">
        <is>
          <t>Gadukyan</t>
        </is>
      </c>
      <c r="E6" s="100" t="inlineStr">
        <is>
          <t>WhatsApp</t>
        </is>
      </c>
      <c r="F6" s="102" t="inlineStr">
        <is>
          <t>Հայեցակարգի իմպլեմենտացիա</t>
        </is>
      </c>
      <c r="G6" s="102" t="inlineStr">
        <is>
          <t>«ու իմփլեմենթը դրա անենք մինրև ամսի 1ը … սա ներկայացնես միքանի հոգու»</t>
        </is>
      </c>
      <c r="H6" s="101" t="n">
        <v>46296</v>
      </c>
      <c r="I6" s="100" t="inlineStr">
        <is>
          <t>Միջին</t>
        </is>
      </c>
      <c r="J6" s="100" t="inlineStr">
        <is>
          <t>Նոր</t>
        </is>
      </c>
      <c r="K6" s="100" t="inlineStr">
        <is>
          <t>Ես</t>
        </is>
      </c>
      <c r="L6" s="100" t="inlineStr">
        <is>
          <t>T-2026-09-07-04</t>
        </is>
      </c>
      <c r="M6" s="102" t="inlineStr"/>
      <c r="N6" s="102" t="inlineStr">
        <is>
          <t>Սահմանել՝ որ գործընթացներն են փոխվում, ինչ գործիք է գործարկվում, ով է օգտագործում, և ինչ է չափվում հետո</t>
        </is>
      </c>
      <c r="O6" s="102" t="inlineStr"/>
      <c r="P6" s="100" t="inlineStr"/>
      <c r="Q6" s="100" t="n"/>
      <c r="R6" s="100" t="inlineStr">
        <is>
          <t>Քո նշածը</t>
        </is>
      </c>
      <c r="S6" s="102" t="inlineStr"/>
    </row>
    <row r="7" ht="46" customHeight="1">
      <c r="A7" s="100" t="inlineStr">
        <is>
          <t>T-2026-09-07-06</t>
        </is>
      </c>
      <c r="B7" s="101" t="n">
        <v>46272</v>
      </c>
      <c r="C7" s="100" t="inlineStr">
        <is>
          <t>17:21</t>
        </is>
      </c>
      <c r="D7" s="100" t="inlineStr">
        <is>
          <t>Gadukyan</t>
        </is>
      </c>
      <c r="E7" s="100" t="inlineStr">
        <is>
          <t>WhatsApp</t>
        </is>
      </c>
      <c r="F7" s="102" t="inlineStr">
        <is>
          <t>Բիլինգի տարեկան roadmap-ի վերաբերյալ որոշում՝ ընդունո՞ւմ ենք, ինչ ենք փոխում</t>
        </is>
      </c>
      <c r="G7" s="102" t="inlineStr">
        <is>
          <t>«ակտուալ ա՞ հաուզի համար թե չէ … եթե հա՝ ես մերոնց սկսեմ պատրաստել, եթե չէ՝ տուր քոնը, ու ժամանակ չեմ տալու դրա համար»</t>
        </is>
      </c>
      <c r="H7" s="101" t="n">
        <v>46274</v>
      </c>
      <c r="I7" s="100" t="inlineStr">
        <is>
          <t>Բարձր</t>
        </is>
      </c>
      <c r="J7" s="100" t="inlineStr">
        <is>
          <t>Ընթացքում</t>
        </is>
      </c>
      <c r="K7" s="100" t="inlineStr">
        <is>
          <t>Ես + Claude</t>
        </is>
      </c>
      <c r="L7" s="100" t="inlineStr"/>
      <c r="M7" s="102" t="inlineStr">
        <is>
          <t>Փաստաթուղթը ձեռքի տակ է՝ 01_Ընթացիկ/HouseNet_Billing_Yearly_Roadmap_2026_ARM_v2։ Իմ երկու դիրքորոշումն արդեն ասված է՝ (1) KPI-ները քար չլինեն՝ 100%-ի հասածը փոխարինվի նորով, (2) BI-ը հանել բիլինգի վրայից՝ բիլինգը մնա միայն source of truth</t>
        </is>
      </c>
      <c r="N7" s="102" t="inlineStr">
        <is>
          <t>Ես ու Claude անցնում ենք փաստաթղթով կետ առ կետ, ամրագրում ենք երկու սկզբունքը գրավոր, և կազմում ենք Gadukyan-ին ուղարկվող պատասխանի տեքստը</t>
        </is>
      </c>
      <c r="O7" s="102" t="inlineStr"/>
      <c r="P7" s="100" t="inlineStr"/>
      <c r="Q7" s="100" t="n"/>
      <c r="R7" s="100" t="inlineStr">
        <is>
          <t>Իմ առաջարկը՝ այսօր նայենք</t>
        </is>
      </c>
      <c r="S7" s="102" t="inlineStr">
        <is>
          <t>ՀԱԿԱՍՈՒԹՅՈՒՆ՝ roadmap-ը Billing-ին տալիս է «Reporting &amp; intelligence» մանդատ, dashboards, forecast, churn scoring — ուղիղ հակառակը BI-ը հանելու դիրքորոշման</t>
        </is>
      </c>
    </row>
    <row r="8" ht="46" customHeight="1">
      <c r="A8" s="100" t="inlineStr">
        <is>
          <t>T-2026-09-07-07</t>
        </is>
      </c>
      <c r="B8" s="101" t="n">
        <v>46272</v>
      </c>
      <c r="C8" s="100" t="inlineStr">
        <is>
          <t>19:40</t>
        </is>
      </c>
      <c r="D8" s="100" t="inlineStr">
        <is>
          <t>Gadukyan</t>
        </is>
      </c>
      <c r="E8" s="100" t="inlineStr">
        <is>
          <t>WhatsApp</t>
        </is>
      </c>
      <c r="F8" s="102" t="inlineStr">
        <is>
          <t>Revenue Assurance-ի տեխնիկական առաջադրանքը գրել</t>
        </is>
      </c>
      <c r="G8" s="102" t="inlineStr">
        <is>
          <t>«Revenue Assurance, էս էջը, տեխնիկական առաջադրանքը էլի, ո՞րդուց ա»</t>
        </is>
      </c>
      <c r="H8" s="101" t="n">
        <v>46276</v>
      </c>
      <c r="I8" s="100" t="inlineStr">
        <is>
          <t>Բարձր</t>
        </is>
      </c>
      <c r="J8" s="100" t="inlineStr">
        <is>
          <t>Ընթացքում</t>
        </is>
      </c>
      <c r="K8" s="100" t="inlineStr">
        <is>
          <t>Ես</t>
        </is>
      </c>
      <c r="L8" s="100" t="inlineStr"/>
      <c r="M8" s="102" t="inlineStr">
        <is>
          <t>Ձևակերպումը համաձայնեցված է՝ ինչ ծառայություն ենք տվել, ճի՞շտ ենք գանձել ու հաշվել</t>
        </is>
      </c>
      <c r="N8" s="102" t="inlineStr">
        <is>
          <t>Գրել ՏԱ-ն 1 էջով՝ (1) որ աղբյուրներից են տվյալները, (2) ինչ է համեմատվում ինչի հետ՝ մատուցված ծառայություն ↔ գանձված գումար, (3) ինչ ելքային ռեփորթ և ինչ պարբերականությամբ, (4) ով է պատասխանատու շեղումների համար</t>
        </is>
      </c>
      <c r="O8" s="102" t="inlineStr"/>
      <c r="P8" s="100" t="inlineStr"/>
      <c r="Q8" s="100" t="n"/>
      <c r="R8" s="100" t="inlineStr">
        <is>
          <t>Իմ առաջարկը</t>
        </is>
      </c>
      <c r="S8" s="102" t="inlineStr">
        <is>
          <t>Քննարկվել է ձայնային հաղորդագրություններով՝ export-ում չկան, բովանդակությունը ինձ հայտնի չէ</t>
        </is>
      </c>
    </row>
    <row r="9" ht="46" customHeight="1">
      <c r="A9" s="100" t="inlineStr">
        <is>
          <t>T-2026-09-07-08</t>
        </is>
      </c>
      <c r="B9" s="101" t="n">
        <v>46272</v>
      </c>
      <c r="C9" s="100" t="inlineStr">
        <is>
          <t>22:18</t>
        </is>
      </c>
      <c r="D9" s="100" t="inlineStr">
        <is>
          <t>Ես</t>
        </is>
      </c>
      <c r="E9" s="100" t="inlineStr">
        <is>
          <t>WhatsApp</t>
        </is>
      </c>
      <c r="F9" s="102" t="inlineStr">
        <is>
          <t>Ճշտել՝ հաստիքացուցակը ե՞րբ է ուժի մեջ մտնում (հոկտեմբերի 1-ից)</t>
        </is>
      </c>
      <c r="G9" s="102" t="inlineStr">
        <is>
          <t>«ու եթե հա, հոկտեմբերիցա ուժի մեջ մտնում՞ փոփոխություններ կա որտև, որ սխալ բան չլինի»</t>
        </is>
      </c>
      <c r="H9" s="101" t="n">
        <v>46275</v>
      </c>
      <c r="I9" s="100" t="inlineStr">
        <is>
          <t>Միջին</t>
        </is>
      </c>
      <c r="J9" s="100" t="inlineStr">
        <is>
          <t>Սպասում</t>
        </is>
      </c>
      <c r="K9" s="100" t="inlineStr">
        <is>
          <t>Gadukyan</t>
        </is>
      </c>
      <c r="L9" s="100" t="inlineStr"/>
      <c r="M9" s="102" t="inlineStr">
        <is>
          <t>Հաստիքացուցակն ինքը հաստատված է, ուժի մեջ մտնելու ամսաթիվը՝ ոչ</t>
        </is>
      </c>
      <c r="N9" s="102" t="inlineStr">
        <is>
          <t>Կրկնել կոնկրետ՝ «ուժի մեջ մտնում է հոկտեմբերի 1-ից, հաստատո՞ւմ ես»</t>
        </is>
      </c>
      <c r="O9" s="102" t="inlineStr"/>
      <c r="P9" s="100" t="inlineStr"/>
      <c r="Q9" s="100" t="n"/>
      <c r="R9" s="100" t="inlineStr">
        <is>
          <t>Իմ առաջարկը</t>
        </is>
      </c>
      <c r="S9" s="102" t="inlineStr">
        <is>
          <t>Պատասխանը եղել է ընդհանուր՝ «ներկայացրեք ինչ եք ուզում անեք՝ ու կանաչ լույս»</t>
        </is>
      </c>
    </row>
    <row r="10" ht="46" customHeight="1">
      <c r="A10" s="100" t="inlineStr">
        <is>
          <t>T-2026-09-07-09</t>
        </is>
      </c>
      <c r="B10" s="101" t="n">
        <v>46272</v>
      </c>
      <c r="C10" s="100" t="inlineStr">
        <is>
          <t>23:44</t>
        </is>
      </c>
      <c r="D10" s="100" t="inlineStr">
        <is>
          <t>Gadukyan</t>
        </is>
      </c>
      <c r="E10" s="100" t="inlineStr">
        <is>
          <t>WhatsApp</t>
        </is>
      </c>
      <c r="F10" s="102" t="inlineStr">
        <is>
          <t>Pull անել main-ից և նայել push արածը</t>
        </is>
      </c>
      <c r="G10" s="102" t="inlineStr">
        <is>
          <t>«push ած ա … կարաս pull լինես mainից»</t>
        </is>
      </c>
      <c r="H10" s="101" t="n">
        <v>46274</v>
      </c>
      <c r="I10" s="100" t="inlineStr">
        <is>
          <t>Ցածր</t>
        </is>
      </c>
      <c r="J10" s="100" t="inlineStr">
        <is>
          <t>Նոր</t>
        </is>
      </c>
      <c r="K10" s="100" t="inlineStr">
        <is>
          <t>Ես</t>
        </is>
      </c>
      <c r="L10" s="100" t="inlineStr"/>
      <c r="M10" s="102" t="inlineStr"/>
      <c r="N10" s="102" t="inlineStr">
        <is>
          <t>Pull անել main-ից, նայել ինչ է փոխվել, և գրել մեկ պարբերություն՝ ինչ եմ տեսել, ինչն է աշխատում, ինչը՝ ոչ</t>
        </is>
      </c>
      <c r="O10" s="102" t="inlineStr"/>
      <c r="P10" s="100" t="inlineStr"/>
      <c r="Q10" s="100" t="n"/>
      <c r="R10" s="100" t="inlineStr">
        <is>
          <t>Իմ առաջարկը</t>
        </is>
      </c>
      <c r="S10" s="102" t="inlineStr"/>
    </row>
    <row r="11" ht="46" customHeight="1">
      <c r="A11" s="100" t="inlineStr">
        <is>
          <t>T-2026-09-07-10</t>
        </is>
      </c>
      <c r="B11" s="101" t="n">
        <v>46272</v>
      </c>
      <c r="C11" s="100" t="inlineStr">
        <is>
          <t>17:55</t>
        </is>
      </c>
      <c r="D11" s="100" t="inlineStr">
        <is>
          <t>Gadukyan</t>
        </is>
      </c>
      <c r="E11" s="100" t="inlineStr">
        <is>
          <t>WhatsApp</t>
        </is>
      </c>
      <c r="F11" s="102" t="inlineStr">
        <is>
          <t>4 ամսվա մեջ ամսական 2% իջնելու հարցը</t>
        </is>
      </c>
      <c r="G11" s="102" t="inlineStr">
        <is>
          <t>«ես ու դու դա կարանք մի ժամում անենք … 4 բան էի ուզել … որից մեկը բիզնեսի համար կրիտիկական էր»</t>
        </is>
      </c>
      <c r="H11" s="101" t="n">
        <v>46276</v>
      </c>
      <c r="I11" s="100" t="inlineStr">
        <is>
          <t>Բարձր</t>
        </is>
      </c>
      <c r="J11" s="100" t="inlineStr">
        <is>
          <t>Նոր</t>
        </is>
      </c>
      <c r="K11" s="100" t="inlineStr">
        <is>
          <t>Ես</t>
        </is>
      </c>
      <c r="L11" s="100" t="inlineStr"/>
      <c r="M11" s="102" t="inlineStr"/>
      <c r="N11" s="102" t="inlineStr">
        <is>
          <t>Ես ու Claude նստում ենք առանձին՝ սահմանում ենք ինչն է իջնում (բաժանորդ, եկամուտ, թե ծախս), որն է բազան, որն է 4 ամսվա թիրախը, և որ ռեփորթով է հետևվելու</t>
        </is>
      </c>
      <c r="O11" s="102" t="inlineStr"/>
      <c r="P11" s="100" t="inlineStr"/>
      <c r="Q11" s="100" t="n"/>
      <c r="R11" s="100" t="inlineStr">
        <is>
          <t>Իմ առաջարկը</t>
        </is>
      </c>
      <c r="S11" s="102" t="inlineStr">
        <is>
          <t>ԿՐԻՏԻԿԱԿԱՆ։ Gadukyan-ի 4 պահանջից սա է անվանվել բիզնեսի համար կրիտիկականը։ Բովանդակությունը դիտավորյալ չեմ ենթադրում — առանձին քննարկվելու է</t>
        </is>
      </c>
    </row>
    <row r="12" ht="46" customHeight="1">
      <c r="A12" s="100" t="inlineStr">
        <is>
          <t>T-2026-09-07-11</t>
        </is>
      </c>
      <c r="B12" s="101" t="n">
        <v>46272</v>
      </c>
      <c r="C12" s="100" t="inlineStr">
        <is>
          <t>17:55</t>
        </is>
      </c>
      <c r="D12" s="100" t="inlineStr">
        <is>
          <t>Gadukyan</t>
        </is>
      </c>
      <c r="E12" s="100" t="inlineStr">
        <is>
          <t>WhatsApp</t>
        </is>
      </c>
      <c r="F12" s="102" t="inlineStr">
        <is>
          <t>Կորպորատիվի ամսական ռեփորթ՝ քանի կորպ հաճախորդ ենք տեսել, խոսել և օֆեր արել</t>
        </is>
      </c>
      <c r="G12" s="102" t="inlineStr">
        <is>
          <t>«հաստիքացուցակ, 4 ամսվա մեջ ամսական 2 % իջնելու հարցը, կորպի ամսական ռեփորթ, բիլինգի քոզերի հարցը»</t>
        </is>
      </c>
      <c r="H12" s="101" t="n">
        <v>46276</v>
      </c>
      <c r="I12" s="100" t="inlineStr">
        <is>
          <t>Բարձր</t>
        </is>
      </c>
      <c r="J12" s="100" t="inlineStr">
        <is>
          <t>Նոր</t>
        </is>
      </c>
      <c r="K12" s="100" t="inlineStr">
        <is>
          <t>Ես</t>
        </is>
      </c>
      <c r="L12" s="100" t="inlineStr"/>
      <c r="M12" s="102" t="inlineStr"/>
      <c r="N12" s="102" t="inlineStr">
        <is>
          <t>Սահմանել ռեփորթի ձևը՝ սյունակները (տեսնված · խոսած · օֆեր արած · կնքված), աղբյուրը՝ CRM, պարբերականությունը՝ ամսական, և ով է լրացնում</t>
        </is>
      </c>
      <c r="O12" s="102" t="inlineStr"/>
      <c r="P12" s="100" t="inlineStr"/>
      <c r="Q12" s="100" t="n"/>
      <c r="R12" s="100" t="inlineStr">
        <is>
          <t>Իմ առաջարկը</t>
        </is>
      </c>
      <c r="S12" s="102" t="inlineStr">
        <is>
          <t>Gadukyan-ի 4 պահանջից մեկը։ Կապվում է կորպորատիվ վաճառքի բաժնի հետ՝ T-2026-09-09-01</t>
        </is>
      </c>
    </row>
    <row r="13" ht="46" customHeight="1">
      <c r="A13" s="100" t="inlineStr">
        <is>
          <t>T-2026-09-07-12</t>
        </is>
      </c>
      <c r="B13" s="101" t="n">
        <v>46272</v>
      </c>
      <c r="C13" s="100" t="inlineStr">
        <is>
          <t>18:11</t>
        </is>
      </c>
      <c r="D13" s="100" t="inlineStr">
        <is>
          <t>Gadukyan</t>
        </is>
      </c>
      <c r="E13" s="100" t="inlineStr">
        <is>
          <t>WhatsApp</t>
        </is>
      </c>
      <c r="F13" s="102" t="inlineStr">
        <is>
          <t>pros/cons՝ պահո՞ւմ ենք քո համակարգը, թե բիլինգն ու Հայկի արածը դրա վրա չենք անում</t>
        </is>
      </c>
      <c r="G13" s="102" t="inlineStr">
        <is>
          <t>«պահում ե՞նք քոնը թե իմաստ չկա … հիմա էս բիլինգը ու Հայկի արածը դրա վրա անե՞նք թե չէ … pros/cons քոնի վրա անելու ու չանելու … սա հիմա հասկանանք շուտ»</t>
        </is>
      </c>
      <c r="H13" s="101" t="n">
        <v>46274</v>
      </c>
      <c r="I13" s="100" t="inlineStr">
        <is>
          <t>Բարձր</t>
        </is>
      </c>
      <c r="J13" s="100" t="inlineStr">
        <is>
          <t>Նոր</t>
        </is>
      </c>
      <c r="K13" s="100" t="inlineStr">
        <is>
          <t>Ես</t>
        </is>
      </c>
      <c r="L13" s="100" t="inlineStr"/>
      <c r="M13" s="102" t="inlineStr"/>
      <c r="N13" s="102" t="inlineStr">
        <is>
          <t>Գրել pros/cons՝ կարճ, երկու սյունակ, ու տալ առաջարկություն</t>
        </is>
      </c>
      <c r="O13" s="102" t="inlineStr"/>
      <c r="P13" s="100" t="inlineStr"/>
      <c r="Q13" s="100" t="n"/>
      <c r="R13" s="100" t="inlineStr">
        <is>
          <t>Իմ առաջարկը (դու գրել էիր «շուտ»)</t>
        </is>
      </c>
      <c r="S13" s="102" t="inlineStr">
        <is>
          <t>Gadukyan-ը գրել է «շուտ»։ Ժամկետը իմ առաջարկն է</t>
        </is>
      </c>
    </row>
    <row r="14" ht="46" customHeight="1">
      <c r="A14" s="100" t="inlineStr">
        <is>
          <t>T-2026-09-07-13</t>
        </is>
      </c>
      <c r="B14" s="101" t="n">
        <v>46272</v>
      </c>
      <c r="C14" s="100" t="inlineStr">
        <is>
          <t>17:28</t>
        </is>
      </c>
      <c r="D14" s="100" t="inlineStr">
        <is>
          <t>Ես</t>
        </is>
      </c>
      <c r="E14" s="100" t="inlineStr">
        <is>
          <t>WhatsApp</t>
        </is>
      </c>
      <c r="F14" s="102" t="inlineStr">
        <is>
          <t>Միկրոբիլի կարգավիճակների փաստաթղթի հաստատում</t>
        </is>
      </c>
      <c r="G14" s="102" t="inlineStr">
        <is>
          <t>«Միկրոբիլի քոզերի մասով էս ա իմ պատկերացումը … եթե սա էր քո ուզածը, ճիշտ եմ հասկացել լավա, եթե չե ասա»</t>
        </is>
      </c>
      <c r="H14" s="101" t="n">
        <v>46275</v>
      </c>
      <c r="I14" s="100" t="inlineStr">
        <is>
          <t>Միջին</t>
        </is>
      </c>
      <c r="J14" s="100" t="inlineStr">
        <is>
          <t>Սպասում</t>
        </is>
      </c>
      <c r="K14" s="100" t="inlineStr">
        <is>
          <t>Gadukyan</t>
        </is>
      </c>
      <c r="L14" s="100" t="inlineStr"/>
      <c r="M14" s="102" t="inlineStr">
        <is>
          <t>8 կարգավիճակի սահմանումը ուղարկված է 09-05-ին և 09-07-ին</t>
        </is>
      </c>
      <c r="N14" s="102" t="inlineStr">
        <is>
          <t>Ուղարկել 8 կարգավիճակի ցանկը մեկ հաղորդագրությամբ և խնդրել «հա» կամ «ուղղիր սա»</t>
        </is>
      </c>
      <c r="O14" s="102" t="inlineStr"/>
      <c r="P14" s="100" t="inlineStr"/>
      <c r="Q14" s="100" t="n"/>
      <c r="R14" s="100" t="inlineStr">
        <is>
          <t>Իմ առաջարկը</t>
        </is>
      </c>
      <c r="S14" s="102" t="inlineStr">
        <is>
          <t>Gadukyan-ի 4 պահանջից՝ «բիլինգի քոզերի հարցը»</t>
        </is>
      </c>
    </row>
    <row r="15" ht="46" customHeight="1">
      <c r="A15" s="100" t="inlineStr">
        <is>
          <t>T-2026-09-07-14</t>
        </is>
      </c>
      <c r="B15" s="101" t="n">
        <v>46272</v>
      </c>
      <c r="C15" s="100" t="inlineStr">
        <is>
          <t>18:24</t>
        </is>
      </c>
      <c r="D15" s="100" t="inlineStr">
        <is>
          <t>Ես</t>
        </is>
      </c>
      <c r="E15" s="100" t="inlineStr">
        <is>
          <t>WhatsApp</t>
        </is>
      </c>
      <c r="F15" s="102" t="inlineStr">
        <is>
          <t>CRM-ի ներսում ապրող AI-ի դեմոն՝ նայեն և թույլ տան սովորի</t>
        </is>
      </c>
      <c r="G15" s="102" t="inlineStr">
        <is>
          <t>«CRM ի ներսում ապրող AI - ի մասով, դա էլ պարաստ, դիփլոյ եմ արել, ստեղ մի հատ դեբին կա դրա վրա, դա էլ կնայեք՞ որ իրան ասենք գնա արդեն սովորի դա»</t>
        </is>
      </c>
      <c r="H15" s="101" t="n">
        <v>46276</v>
      </c>
      <c r="I15" s="100" t="inlineStr">
        <is>
          <t>Միջին</t>
        </is>
      </c>
      <c r="J15" s="100" t="inlineStr">
        <is>
          <t>Սպասում</t>
        </is>
      </c>
      <c r="K15" s="100" t="inlineStr">
        <is>
          <t>Gadukyan-ի թիմ</t>
        </is>
      </c>
      <c r="L15" s="100" t="inlineStr"/>
      <c r="M15" s="102" t="inlineStr">
        <is>
          <t>Դիփլոյ արված է, դեմոն պատրաստ է</t>
        </is>
      </c>
      <c r="N15" s="102" t="inlineStr">
        <is>
          <t>Ամրագրել դիտման օր և ուղարկել՝ ինչ կոնկրետ նայեն՝ ճարտարապետություն, սովորելու կտոր, ինտեգրում CRM-ի հետ</t>
        </is>
      </c>
      <c r="O15" s="102" t="inlineStr"/>
      <c r="P15" s="100" t="inlineStr"/>
      <c r="Q15" s="100" t="n"/>
      <c r="R15" s="100" t="inlineStr">
        <is>
          <t>Իմ առաջարկը</t>
        </is>
      </c>
      <c r="S15" s="102" t="inlineStr"/>
    </row>
    <row r="16" ht="46" customHeight="1">
      <c r="A16" s="100" t="inlineStr">
        <is>
          <t>T-2026-09-07-15</t>
        </is>
      </c>
      <c r="B16" s="101" t="n">
        <v>46272</v>
      </c>
      <c r="C16" s="100" t="inlineStr">
        <is>
          <t>18:45</t>
        </is>
      </c>
      <c r="D16" s="100" t="inlineStr">
        <is>
          <t>Gadukyan</t>
        </is>
      </c>
      <c r="E16" s="100" t="inlineStr">
        <is>
          <t>WhatsApp</t>
        </is>
      </c>
      <c r="F16" s="102" t="inlineStr">
        <is>
          <t>Պորտալի/CRM-ի ճարտարապետության ստուգում իրենց կողմից</t>
        </is>
      </c>
      <c r="G16" s="102" t="inlineStr">
        <is>
          <t>«մերոնք հարցնում են ոնց կարա 6 ամսվա մեջ ոչ մի պրոբլեմ ու ոչ մի հարց չլնի դրա հետ» → «Արխիտեկտուրա ճիշտա, թե դզելու բաներ կան, սովորելու կտորը օկ ա, թե չե, հենց մեյն բռդեք crm ն ասեք»</t>
        </is>
      </c>
      <c r="H16" s="101" t="n">
        <v>46280</v>
      </c>
      <c r="I16" s="100" t="inlineStr">
        <is>
          <t>Միջին</t>
        </is>
      </c>
      <c r="J16" s="100" t="inlineStr">
        <is>
          <t>Սպասում</t>
        </is>
      </c>
      <c r="K16" s="100" t="inlineStr">
        <is>
          <t>Gadukyan-ի թիմ</t>
        </is>
      </c>
      <c r="L16" s="100" t="inlineStr"/>
      <c r="M16" s="102" t="inlineStr">
        <is>
          <t>Հարցերին Հայկը պատասխանել է, թեթև թրեյնինգ արվել է</t>
        </is>
      </c>
      <c r="N16" s="102" t="inlineStr">
        <is>
          <t>Ստանալ գրավոր եզրակացություն՝ ճարտարապետությունը ճի՞շտ է, ինչ է պետք դզել, և ինչ ռիսկ կա 6 ամսվա կտրվածքով</t>
        </is>
      </c>
      <c r="O16" s="102" t="inlineStr"/>
      <c r="P16" s="100" t="inlineStr"/>
      <c r="Q16" s="100" t="n"/>
      <c r="R16" s="100" t="inlineStr">
        <is>
          <t>Իմ առաջարկը</t>
        </is>
      </c>
      <c r="S16" s="102" t="inlineStr"/>
    </row>
    <row r="17" ht="46" customHeight="1">
      <c r="A17" s="100" t="inlineStr">
        <is>
          <t>T-2026-09-08-01</t>
        </is>
      </c>
      <c r="B17" s="101" t="n">
        <v>46273</v>
      </c>
      <c r="C17" s="100" t="inlineStr">
        <is>
          <t>16:50</t>
        </is>
      </c>
      <c r="D17" s="100" t="inlineStr">
        <is>
          <t>Gadukyan</t>
        </is>
      </c>
      <c r="E17" s="100" t="inlineStr">
        <is>
          <t>WhatsApp</t>
        </is>
      </c>
      <c r="F17" s="102" t="inlineStr">
        <is>
          <t>Գրաֆիկ՝ երբ ինչ է ուղարկվելու</t>
        </is>
      </c>
      <c r="G17" s="102" t="inlineStr">
        <is>
          <t>«մի հատ մեր երեկվա գրածներով սարքի գրաֆիկ երբ ինչ ուղարկի ունենանք»</t>
        </is>
      </c>
      <c r="H17" s="101" t="n">
        <v>46274</v>
      </c>
      <c r="I17" s="100" t="inlineStr">
        <is>
          <t>Բարձր</t>
        </is>
      </c>
      <c r="J17" s="100" t="inlineStr">
        <is>
          <t>Ընթացքում</t>
        </is>
      </c>
      <c r="K17" s="100" t="inlineStr">
        <is>
          <t>Ես</t>
        </is>
      </c>
      <c r="L17" s="100" t="inlineStr"/>
      <c r="M17" s="102" t="inlineStr">
        <is>
          <t>Գրաֆիկը ինքնաշխատ հավաքվում է այս ռեեստրից՝ բոլոր ժամկետներով</t>
        </is>
      </c>
      <c r="N17" s="102" t="inlineStr">
        <is>
          <t>Ուղարկել Gadukyan-ին</t>
        </is>
      </c>
      <c r="O17" s="102" t="inlineStr">
        <is>
          <t>01_Ընթացիկ/Գրաֆիկ (Excel + WhatsApp-ի տեքստ)</t>
        </is>
      </c>
      <c r="P17" s="100" t="inlineStr"/>
      <c r="Q17" s="100" t="n"/>
      <c r="R17" s="100" t="inlineStr">
        <is>
          <t>Քո նշածը</t>
        </is>
      </c>
      <c r="S17" s="102" t="inlineStr"/>
    </row>
    <row r="18" ht="46" customHeight="1">
      <c r="A18" s="100" t="inlineStr">
        <is>
          <t>T-2026-09-08-02</t>
        </is>
      </c>
      <c r="B18" s="101" t="n">
        <v>46273</v>
      </c>
      <c r="C18" s="100" t="inlineStr">
        <is>
          <t>18:15</t>
        </is>
      </c>
      <c r="D18" s="100" t="inlineStr">
        <is>
          <t>Gadukyan</t>
        </is>
      </c>
      <c r="E18" s="100" t="inlineStr">
        <is>
          <t>WhatsApp</t>
        </is>
      </c>
      <c r="F18" s="102" t="inlineStr">
        <is>
          <t>Իրավաբանական անձանց բիլինգում ուղղել ՀՎՀՀ-ները</t>
        </is>
      </c>
      <c r="G18" s="102" t="inlineStr">
        <is>
          <t>«մի հատ հանձնարարի սաղ իրավաբանական անձանց որ փոպանցումով են աշխատում, բիլինգում ճիշտ ՀՎՀՀ գրեն, որ reconslationy աշխատի»</t>
        </is>
      </c>
      <c r="H18" s="101" t="n">
        <v>46275</v>
      </c>
      <c r="I18" s="100" t="inlineStr">
        <is>
          <t>Բարձր</t>
        </is>
      </c>
      <c r="J18" s="100" t="inlineStr">
        <is>
          <t>Սպասում</t>
        </is>
      </c>
      <c r="K18" s="100" t="inlineStr">
        <is>
          <t>Մագա</t>
        </is>
      </c>
      <c r="L18" s="100" t="inlineStr"/>
      <c r="M18" s="102" t="inlineStr">
        <is>
          <t>Թասկը դրված է Bitrix24-ում Մագայի վրա, ժամկետը՝ 09-10 ժամը 11:00</t>
        </is>
      </c>
      <c r="N18" s="102" t="inlineStr">
        <is>
          <t>09-10 11:00-ին ստուգել Bitrix-ում՝ փակվե՞լ է</t>
        </is>
      </c>
      <c r="O18" s="102" t="inlineStr"/>
      <c r="P18" s="100" t="inlineStr">
        <is>
          <t>Bitrix24՝ Մագայի վրա</t>
        </is>
      </c>
      <c r="Q18" s="100" t="n"/>
      <c r="R18" s="100" t="inlineStr">
        <is>
          <t>Քո նշածը</t>
        </is>
      </c>
      <c r="S18" s="102" t="inlineStr">
        <is>
          <t>Անհրաժեշտ է reconciliation-ի աշխատելու համար։ Տես H-2026-09-08-01</t>
        </is>
      </c>
    </row>
    <row r="19" ht="46" customHeight="1">
      <c r="A19" s="100" t="inlineStr">
        <is>
          <t>T-2026-09-08-03</t>
        </is>
      </c>
      <c r="B19" s="101" t="n">
        <v>46273</v>
      </c>
      <c r="C19" s="100" t="inlineStr">
        <is>
          <t>18:50</t>
        </is>
      </c>
      <c r="D19" s="100" t="inlineStr">
        <is>
          <t>Gadukyan</t>
        </is>
      </c>
      <c r="E19" s="100" t="inlineStr">
        <is>
          <t>WhatsApp</t>
        </is>
      </c>
      <c r="F19" s="102" t="inlineStr">
        <is>
          <t>Մագայի գործառույթների մանրամասն նկարագիրը՝ ինչ ցուցակներ է հանում</t>
        </is>
      </c>
      <c r="G19" s="102" t="inlineStr">
        <is>
          <t>«Մագայից … իրա գործառույթները ասա թող ուղարկի … ինչ ցուցակներ ա հանում … վաղվա չթողենք» + 09-09 00:39՝ «թող ավելի մանրամասն գրի … առաջին 10 կետը ավտոմատացվող ա արագ / սպասում եմ»</t>
        </is>
      </c>
      <c r="H19" s="101" t="n">
        <v>46274</v>
      </c>
      <c r="I19" s="100" t="inlineStr">
        <is>
          <t>Բարձր</t>
        </is>
      </c>
      <c r="J19" s="100" t="inlineStr">
        <is>
          <t>Ընթացքում</t>
        </is>
      </c>
      <c r="K19" s="100" t="inlineStr">
        <is>
          <t>Մագա → Ես</t>
        </is>
      </c>
      <c r="L19" s="100" t="inlineStr"/>
      <c r="M19" s="102" t="inlineStr">
        <is>
          <t>Առաջին տարբերակը ստացվել է, բայց մակերեսային է</t>
        </is>
      </c>
      <c r="N19" s="102" t="inlineStr">
        <is>
          <t>Պահանջել քայլ առ քայլ նկարագիր և առանձնացնել առաջին 10 ավտոմատացվող կետը</t>
        </is>
      </c>
      <c r="O19" s="102" t="inlineStr">
        <is>
          <t>Մակերեսային տարբերակ</t>
        </is>
      </c>
      <c r="P19" s="100" t="inlineStr"/>
      <c r="Q19" s="100" t="n"/>
      <c r="R19" s="100" t="inlineStr">
        <is>
          <t>Քո նշածը</t>
        </is>
      </c>
      <c r="S19" s="102" t="inlineStr">
        <is>
          <t>Սկզբնական ժամկետը 09-08 էր։ Gadukyan-ը 09-09 գիշերը կրկնել է՝ «սպասում եմ»։ Սա reconciliation-ը Մագայի վրայից հանելու նախապայմանն է</t>
        </is>
      </c>
    </row>
    <row r="20" ht="46" customHeight="1">
      <c r="A20" s="100" t="inlineStr">
        <is>
          <t>T-2026-09-08-04</t>
        </is>
      </c>
      <c r="B20" s="101" t="n">
        <v>46273</v>
      </c>
      <c r="C20" s="100" t="inlineStr">
        <is>
          <t>20:09</t>
        </is>
      </c>
      <c r="D20" s="100" t="inlineStr">
        <is>
          <t>Gadukyan</t>
        </is>
      </c>
      <c r="E20" s="100" t="inlineStr">
        <is>
          <t>WhatsApp</t>
        </is>
      </c>
      <c r="F20" s="102" t="inlineStr">
        <is>
          <t>Շոֆեռ գտնել</t>
        </is>
      </c>
      <c r="G20" s="102" t="inlineStr">
        <is>
          <t>«շոֆեռ գտնելն էլ քո վրա, սա Մագան կարա քշի կարծում եմ»</t>
        </is>
      </c>
      <c r="H20" s="101" t="n">
        <v>46279</v>
      </c>
      <c r="I20" s="100" t="inlineStr">
        <is>
          <t>Միջին</t>
        </is>
      </c>
      <c r="J20" s="100" t="inlineStr">
        <is>
          <t>Նոր</t>
        </is>
      </c>
      <c r="K20" s="100" t="inlineStr">
        <is>
          <t>Ես / Մագա</t>
        </is>
      </c>
      <c r="L20" s="100" t="inlineStr"/>
      <c r="M20" s="102" t="inlineStr"/>
      <c r="N20" s="102" t="inlineStr">
        <is>
          <t>Գրել պահանջները՝ կատեգորիա, փորձ, աշխատաժամեր, վարձատրություն. հանձնարարել Մագային որոնումը վարել, ես հաստատեմ թեկնածուն</t>
        </is>
      </c>
      <c r="O20" s="102" t="inlineStr"/>
      <c r="P20" s="100" t="inlineStr"/>
      <c r="Q20" s="100" t="n"/>
      <c r="R20" s="100" t="inlineStr">
        <is>
          <t>Իմ առաջարկը</t>
        </is>
      </c>
      <c r="S20" s="102" t="inlineStr"/>
    </row>
    <row r="21" ht="46" customHeight="1">
      <c r="A21" s="100" t="inlineStr">
        <is>
          <t>T-2026-09-08-05</t>
        </is>
      </c>
      <c r="B21" s="101" t="n">
        <v>46273</v>
      </c>
      <c r="C21" s="100" t="inlineStr">
        <is>
          <t>22:03</t>
        </is>
      </c>
      <c r="D21" s="100" t="inlineStr">
        <is>
          <t>Gadukyan</t>
        </is>
      </c>
      <c r="E21" s="100" t="inlineStr">
        <is>
          <t>WhatsApp</t>
        </is>
      </c>
      <c r="F21" s="102" t="inlineStr">
        <is>
          <t>Պարզել՝ ինչու տեսուչները ծրագրով չեն օգտվում, և փակել հին դոստուպը</t>
        </is>
      </c>
      <c r="G21" s="102" t="inlineStr">
        <is>
          <t>«մի հատ վաղը հասկացի ինչի՞ մեր տեսուչները ծրագրով չեն օգտվում … ու կռուտիտներ մի ընդունի լա՞վ … միանգամից կարաս ասես որ վաղվանից փակում ես դոստուպը սաղի»</t>
        </is>
      </c>
      <c r="H21" s="101" t="n">
        <v>46274</v>
      </c>
      <c r="I21" s="100" t="inlineStr">
        <is>
          <t>Բարձր</t>
        </is>
      </c>
      <c r="J21" s="100" t="inlineStr">
        <is>
          <t>Նոր</t>
        </is>
      </c>
      <c r="K21" s="100" t="inlineStr">
        <is>
          <t>Ես</t>
        </is>
      </c>
      <c r="L21" s="100" t="inlineStr"/>
      <c r="M21" s="102" t="inlineStr"/>
      <c r="N21" s="102" t="inlineStr">
        <is>
          <t>Խոսել տեսուչների հետ, հայտարարել՝ վաղվանից միայն ծրագրով</t>
        </is>
      </c>
      <c r="O21" s="102" t="inlineStr"/>
      <c r="P21" s="100" t="inlineStr"/>
      <c r="Q21" s="100" t="n"/>
      <c r="R21" s="100" t="inlineStr">
        <is>
          <t>Քո նշածը</t>
        </is>
      </c>
      <c r="S21" s="102" t="inlineStr">
        <is>
          <t>Սա նույնպես reconciliation-ը Մագայի վրայից հանելու մասն է</t>
        </is>
      </c>
    </row>
    <row r="22" ht="46" customHeight="1">
      <c r="A22" s="100" t="inlineStr">
        <is>
          <t>T-2026-09-08-06</t>
        </is>
      </c>
      <c r="B22" s="101" t="n">
        <v>46273</v>
      </c>
      <c r="C22" s="100" t="inlineStr">
        <is>
          <t>22:04</t>
        </is>
      </c>
      <c r="D22" s="100" t="inlineStr">
        <is>
          <t>Gadukyan</t>
        </is>
      </c>
      <c r="E22" s="100" t="inlineStr">
        <is>
          <t>WhatsApp</t>
        </is>
      </c>
      <c r="F22" s="102" t="inlineStr">
        <is>
          <t>Reconciliation-ը վերցնել Մագայի վրայից</t>
        </is>
      </c>
      <c r="G22" s="102" t="inlineStr">
        <is>
          <t>«ապեր քանի էս սաղ արել ենք … reconsilationը անենք հանենք Մագայի վրից … համ մենք հանգիստ քնենք համ ինքը»</t>
        </is>
      </c>
      <c r="H22" s="101" t="n">
        <v>46276</v>
      </c>
      <c r="I22" s="100" t="inlineStr">
        <is>
          <t>Բարձր</t>
        </is>
      </c>
      <c r="J22" s="100" t="inlineStr">
        <is>
          <t>Ընթացքում</t>
        </is>
      </c>
      <c r="K22" s="100" t="inlineStr">
        <is>
          <t>Ես</t>
        </is>
      </c>
      <c r="L22" s="100" t="inlineStr">
        <is>
          <t>T-2026-09-08-03, T-2026-09-08-05, T-2026-09-08-02</t>
        </is>
      </c>
      <c r="M22" s="102" t="inlineStr">
        <is>
          <t>Որոշումը կայացված է՝ Gadukyan-ը առաջարկել է, ես համաձայնվել եմ։ Խոսելու հարց չկա — կատարման հարց է</t>
        </is>
      </c>
      <c r="N22" s="102" t="inlineStr">
        <is>
          <t>Փակել երեք նախապայմանը՝ Մագայի գործառույթները, տեսուչների հարցը, ՀՎՀՀ-ները. հետո փոխանցել</t>
        </is>
      </c>
      <c r="O22" s="102" t="inlineStr"/>
      <c r="P22" s="100" t="inlineStr"/>
      <c r="Q22" s="100" t="n"/>
      <c r="R22" s="100" t="inlineStr">
        <is>
          <t>Քո նշածը՝ ուրբաթից խոդենք</t>
        </is>
      </c>
      <c r="S22" s="102" t="inlineStr">
        <is>
          <t>09-09՝ «շուտ անենք ուրբաթից խոդենք» — ուրբաթը go-live-ի օրն է</t>
        </is>
      </c>
    </row>
    <row r="23" ht="46" customHeight="1">
      <c r="A23" s="100" t="inlineStr">
        <is>
          <t>T-2026-09-09-01</t>
        </is>
      </c>
      <c r="B23" s="101" t="n">
        <v>46274</v>
      </c>
      <c r="C23" s="100" t="inlineStr">
        <is>
          <t>00:43</t>
        </is>
      </c>
      <c r="D23" s="100" t="inlineStr">
        <is>
          <t>Gadukyan</t>
        </is>
      </c>
      <c r="E23" s="100" t="inlineStr">
        <is>
          <t>WhatsApp</t>
        </is>
      </c>
      <c r="F23" s="102" t="inlineStr">
        <is>
          <t>Վաճառքի ռազմավարությանը ավելացնել հեռավաճառքի օպերացիոն մանրամասնումը և կորպորատիվ բաժինը</t>
        </is>
      </c>
      <c r="G23" s="102" t="inlineStr">
        <is>
          <t>«ստեղ ավելացնենք telesales ի ստրատեգիան կարճաժամկետ, ու կորպորատիվի, առանձնացված մարդ որ չկա էդ բլոքեր չի … վաղը Ռիչի հետ էդ 2 կտորը ավելացրու»</t>
        </is>
      </c>
      <c r="H23" s="101" t="n">
        <v>46274</v>
      </c>
      <c r="I23" s="100" t="inlineStr">
        <is>
          <t>Բարձր</t>
        </is>
      </c>
      <c r="J23" s="100" t="inlineStr">
        <is>
          <t>Ընթացքում</t>
        </is>
      </c>
      <c r="K23" s="100" t="inlineStr">
        <is>
          <t>Ես</t>
        </is>
      </c>
      <c r="L23" s="100" t="inlineStr"/>
      <c r="M23" s="102" t="inlineStr">
        <is>
          <t>Փաստաթղթում հեռավաճառքը կա թվերով՝ 2 գործակալ × 20 փաթեթ։ Կորպորատիվ բաժինը ընդհանրապես չկա</t>
        </is>
      </c>
      <c r="N23" s="102" t="inlineStr">
        <is>
          <t>Գրել՝ (1) հեռավաճառքի օրվա ընթացակարգը՝ ինչ են անում, ոնց, ինչ սկրիպտով. (2) կորպորատիվ բաժինը զրոյից</t>
        </is>
      </c>
      <c r="O23" s="102" t="inlineStr"/>
      <c r="P23" s="100" t="inlineStr"/>
      <c r="Q23" s="100" t="n"/>
      <c r="R23" s="100" t="inlineStr">
        <is>
          <t>Քո նշածը</t>
        </is>
      </c>
      <c r="S23" s="102" t="inlineStr">
        <is>
          <t>«Սաղ օֆիսով պիտի վաճառք անենք 4 ամիս, ձև չունենք»։ Կապվում է կորպի ռեփորթի հետ՝ T-2026-09-07-11</t>
        </is>
      </c>
    </row>
    <row r="24" ht="46" customHeight="1">
      <c r="A24" s="100" t="inlineStr">
        <is>
          <t>T-2026-09-09-02</t>
        </is>
      </c>
      <c r="B24" s="101" t="n">
        <v>46274</v>
      </c>
      <c r="C24" s="100" t="inlineStr">
        <is>
          <t>00:43</t>
        </is>
      </c>
      <c r="D24" s="100" t="inlineStr">
        <is>
          <t>Gadukyan</t>
        </is>
      </c>
      <c r="E24" s="100" t="inlineStr">
        <is>
          <t>WhatsApp</t>
        </is>
      </c>
      <c r="F24" s="102" t="inlineStr">
        <is>
          <t>Հինգշաբթի ժողով՝ ՄԵՆԱԿ վաճառքի խթանման մասով</t>
        </is>
      </c>
      <c r="G24" s="102" t="inlineStr">
        <is>
          <t>«5շաբթի ժողով ՄԵՆԱԿ վաճառքի խթանման մասով»</t>
        </is>
      </c>
      <c r="H24" s="101" t="n">
        <v>46275</v>
      </c>
      <c r="I24" s="100" t="inlineStr">
        <is>
          <t>Բարձր</t>
        </is>
      </c>
      <c r="J24" s="100" t="inlineStr">
        <is>
          <t>Նոր</t>
        </is>
      </c>
      <c r="K24" s="100" t="inlineStr">
        <is>
          <t>Ես</t>
        </is>
      </c>
      <c r="L24" s="100" t="inlineStr">
        <is>
          <t>T-2026-09-07-02, T-2026-09-09-01</t>
        </is>
      </c>
      <c r="M24" s="102" t="inlineStr"/>
      <c r="N24" s="102" t="inlineStr">
        <is>
          <t>Օրակարգ + ներկայացման նյութ՝ վաճառքի ռազմավարության հիման վրա</t>
        </is>
      </c>
      <c r="O24" s="102" t="inlineStr"/>
      <c r="P24" s="100" t="inlineStr"/>
      <c r="Q24" s="100" t="n"/>
      <c r="R24" s="100" t="inlineStr">
        <is>
          <t>Քո նշածը</t>
        </is>
      </c>
      <c r="S24" s="102" t="inlineStr">
        <is>
          <t>Այլ թեմա չբերել</t>
        </is>
      </c>
    </row>
    <row r="25" ht="46" customHeight="1">
      <c r="A25" s="100" t="inlineStr">
        <is>
          <t>T-2026-09-09-03</t>
        </is>
      </c>
      <c r="B25" s="101" t="n">
        <v>46274</v>
      </c>
      <c r="C25" s="100" t="inlineStr">
        <is>
          <t>12:36</t>
        </is>
      </c>
      <c r="D25" s="100" t="inlineStr">
        <is>
          <t>Gadukyan</t>
        </is>
      </c>
      <c r="E25" s="100" t="inlineStr">
        <is>
          <t>WhatsApp</t>
        </is>
      </c>
      <c r="F25" s="102" t="inlineStr">
        <is>
          <t>Retention flow-ը փակել Ռիչի վրա և արտացոլել վաճառքի ռազմավարության փաստաթղթում</t>
        </is>
      </c>
      <c r="G25" s="102" t="inlineStr">
        <is>
          <t>«churnը կանգնացնելու համար մենք ինչ որ retentionի flow ունենք, որը Համոյի վրա էր փակվում … դա էլ Ռիչի վրա փակի ու էս դոքում արտացոլի … հենց պատրաստ լինի ուղարկի»</t>
        </is>
      </c>
      <c r="H25" s="101" t="n">
        <v>46274</v>
      </c>
      <c r="I25" s="100" t="inlineStr">
        <is>
          <t>Բարձր</t>
        </is>
      </c>
      <c r="J25" s="100" t="inlineStr">
        <is>
          <t>Նոր</t>
        </is>
      </c>
      <c r="K25" s="100" t="inlineStr">
        <is>
          <t>Ես</t>
        </is>
      </c>
      <c r="L25" s="100" t="inlineStr"/>
      <c r="M25" s="102" t="inlineStr">
        <is>
          <t>Ռեթենշն սկրիպտերը արդեն տրված են Անահիտին և հետևվում է կիրառմանը</t>
        </is>
      </c>
      <c r="N25" s="102" t="inlineStr">
        <is>
          <t>Գրել flow-ը փաստաթղթում՝ ով է զանգում, ինչ սկրիպտով, ինչ առաջարկով, ինչ է գրանցվում. պատասխանատուն՝ Ռիչ, Համոյի փոխարեն</t>
        </is>
      </c>
      <c r="O25" s="102" t="inlineStr"/>
      <c r="P25" s="100" t="inlineStr"/>
      <c r="Q25" s="100" t="n"/>
      <c r="R25" s="100" t="inlineStr">
        <is>
          <t>Քո նշածը</t>
        </is>
      </c>
      <c r="S25" s="102" t="inlineStr">
        <is>
          <t>Փաստաթուղթը՝ «Վաճառքի կարճաժամկետ ռազմավարություն.docx»։ Հենց պատրաստ լինի՝ ուղարկվում է</t>
        </is>
      </c>
    </row>
    <row r="26" ht="46" customHeight="1">
      <c r="A26" s="100" t="inlineStr">
        <is>
          <t>T-2026-09-09-04</t>
        </is>
      </c>
      <c r="B26" s="101" t="n">
        <v>46274</v>
      </c>
      <c r="C26" s="100" t="inlineStr">
        <is>
          <t>12:46</t>
        </is>
      </c>
      <c r="D26" s="100" t="inlineStr">
        <is>
          <t>Gadukyan</t>
        </is>
      </c>
      <c r="E26" s="100" t="inlineStr">
        <is>
          <t>WhatsApp</t>
        </is>
      </c>
      <c r="F26" s="102" t="inlineStr">
        <is>
          <t>Churn-ի ռիսկի սիգնալները վերանայել՝ ինչն է համարվում ռիսկ</t>
        </is>
      </c>
      <c r="G26" s="102" t="inlineStr">
        <is>
          <t>«արդեն կարաք սկսեք, մի հատ սիգնալները կնայես, թե ինչն ա համարում ռիսկ»</t>
        </is>
      </c>
      <c r="H26" s="101" t="n">
        <v>46274</v>
      </c>
      <c r="I26" s="100" t="inlineStr">
        <is>
          <t>Բարձր</t>
        </is>
      </c>
      <c r="J26" s="100" t="inlineStr">
        <is>
          <t>Ընթացքում</t>
        </is>
      </c>
      <c r="K26" s="100" t="inlineStr">
        <is>
          <t>Ես</t>
        </is>
      </c>
      <c r="L26" s="100" t="inlineStr"/>
      <c r="M26" s="102" t="inlineStr">
        <is>
          <t>Երկու բաց արդեն նկատված է՝ (1) բողոքով զանգերի քանակը ամսվա ընթացքում սիգնալներում չկա, (2) տարեկան պայմանագրով բաժանորդը չի կարող նույն կերպ չըռն համարվել</t>
        </is>
      </c>
      <c r="N26" s="102" t="inlineStr">
        <is>
          <t>Անցնել Gadukyan-ի ուղարկած սիգնալների ցանկով, ավելացնել բացակայողները, և վերադարձնել ուղղված ցանկը</t>
        </is>
      </c>
      <c r="O26" s="102" t="inlineStr"/>
      <c r="P26" s="100" t="inlineStr"/>
      <c r="Q26" s="100" t="n"/>
      <c r="R26" s="100" t="inlineStr">
        <is>
          <t>Քո նշածը</t>
        </is>
      </c>
      <c r="S26" s="102" t="inlineStr">
        <is>
          <t>Սիգնալները եկել են նկարով։ Համապատասխան ֆայլը՝ save-list (2).xlsx</t>
        </is>
      </c>
    </row>
    <row r="27" ht="46" customHeight="1">
      <c r="A27" s="100" t="inlineStr">
        <is>
          <t>T-2026-09-09-05</t>
        </is>
      </c>
      <c r="B27" s="101" t="n">
        <v>46274</v>
      </c>
      <c r="C27" s="100" t="inlineStr">
        <is>
          <t>12:55</t>
        </is>
      </c>
      <c r="D27" s="100" t="inlineStr">
        <is>
          <t>Ես</t>
        </is>
      </c>
      <c r="E27" s="100" t="inlineStr">
        <is>
          <t>WhatsApp</t>
        </is>
      </c>
      <c r="F27" s="102" t="inlineStr">
        <is>
          <t>Churn-ի պրեդիքշն կետերը՝ համադրել թիմի փորձի հետ և ներկայացնել</t>
        </is>
      </c>
      <c r="G27" s="102" t="inlineStr">
        <is>
          <t>«իսկ չըռնի պրեդիքշն կետերը հեսա փորձեմ թիմինը ունենամ ոնց են անում ընդեղ, համադրեմ իմ իմացացի ու քլոդի հետ ասեմ քեզ»</t>
        </is>
      </c>
      <c r="H27" s="101" t="n">
        <v>46275</v>
      </c>
      <c r="I27" s="100" t="inlineStr">
        <is>
          <t>Միջին</t>
        </is>
      </c>
      <c r="J27" s="100" t="inlineStr">
        <is>
          <t>Նոր</t>
        </is>
      </c>
      <c r="K27" s="100" t="inlineStr">
        <is>
          <t>Ես + Claude</t>
        </is>
      </c>
      <c r="L27" s="100" t="inlineStr">
        <is>
          <t>T-2026-09-09-04</t>
        </is>
      </c>
      <c r="M27" s="102" t="inlineStr"/>
      <c r="N27" s="102" t="inlineStr">
        <is>
          <t>Հավաքել՝ թիմն ինչ սիգնալներով է աշխատում, համադրել իմ ցանկի և Claude-ի առաջարկների հետ, տալ մեկ միասնական ցանկ</t>
        </is>
      </c>
      <c r="O27" s="102" t="inlineStr"/>
      <c r="P27" s="100" t="inlineStr"/>
      <c r="Q27" s="100" t="n"/>
      <c r="R27" s="100" t="inlineStr">
        <is>
          <t>Իմ առաջարկը</t>
        </is>
      </c>
      <c r="S27" s="102" t="inlineStr"/>
    </row>
    <row r="28" ht="46" customHeight="1">
      <c r="A28" s="100" t="inlineStr">
        <is>
          <t>T-2026-09-09-06</t>
        </is>
      </c>
      <c r="B28" s="101" t="n">
        <v>46274</v>
      </c>
      <c r="C28" s="100" t="inlineStr">
        <is>
          <t>13:07</t>
        </is>
      </c>
      <c r="D28" s="100" t="inlineStr">
        <is>
          <t>Gadukyan</t>
        </is>
      </c>
      <c r="E28" s="100" t="inlineStr">
        <is>
          <t>WhatsApp</t>
        </is>
      </c>
      <c r="F28" s="102" t="inlineStr">
        <is>
          <t>save-list-ը մշակել Անահիտի և Մագայի հետ</t>
        </is>
      </c>
      <c r="G28" s="102" t="inlineStr">
        <is>
          <t>«save-list (2).xlsx … սա կարող եք հասկանալ արդեն Անահիտի ու Մագայի հետ»</t>
        </is>
      </c>
      <c r="H28" s="101" t="n">
        <v>46275</v>
      </c>
      <c r="I28" s="100" t="inlineStr">
        <is>
          <t>Բարձր</t>
        </is>
      </c>
      <c r="J28" s="100" t="inlineStr">
        <is>
          <t>Նոր</t>
        </is>
      </c>
      <c r="K28" s="100" t="inlineStr">
        <is>
          <t>Ես + Անահիտ + Մագա</t>
        </is>
      </c>
      <c r="L28" s="100" t="inlineStr"/>
      <c r="M28" s="102" t="inlineStr">
        <is>
          <t>Հաստատված է՝ սա եղած սիգնալների վրա հանված չըռն-ռիսկային բաժանորդների ցանկն է</t>
        </is>
      </c>
      <c r="N28" s="102" t="inlineStr">
        <is>
          <t>Նստել Անահիտի և Մագայի հետ՝ ցանկը բաժանել երկուսի միջև, սահմանել ով որ մասն է զանգում և ինչ ժամկետում</t>
        </is>
      </c>
      <c r="O28" s="102" t="inlineStr"/>
      <c r="P28" s="100" t="inlineStr"/>
      <c r="Q28" s="100" t="n"/>
      <c r="R28" s="100" t="inlineStr">
        <is>
          <t>Իմ առաջարկը</t>
        </is>
      </c>
      <c r="S28" s="102" t="inlineStr">
        <is>
          <t>ՖԱՅԼԸ ՖՈԼԴԸՐՈՒՄ ՉԿԱ — save-list (2).xlsx-ը պետք է դնել 01_Ընթացիկ/</t>
        </is>
      </c>
    </row>
    <row r="29" ht="46" customHeight="1">
      <c r="A29" s="100" t="inlineStr">
        <is>
          <t>T-2026-09-09-07</t>
        </is>
      </c>
      <c r="B29" s="101" t="n">
        <v>46274</v>
      </c>
      <c r="C29" s="100" t="inlineStr">
        <is>
          <t>12:44</t>
        </is>
      </c>
      <c r="D29" s="100" t="inlineStr">
        <is>
          <t>Gadukyan</t>
        </is>
      </c>
      <c r="E29" s="100" t="inlineStr">
        <is>
          <t>WhatsApp</t>
        </is>
      </c>
      <c r="F29" s="102" t="inlineStr">
        <is>
          <t>Retention-ի հետևման համակարգը ֆորմալացնել</t>
        </is>
      </c>
      <c r="G29" s="102" t="inlineStr">
        <is>
          <t>«ոնց հետևես բա, եթե ամենօրյա գործ … սիսթեմ չես ուզու՞մ լինի ինչ որ» → «տելեի ավագի ու Անահիտի միջոցով … ավագը պիտի ռեփորթի Անահիտին, Անահիտը դեյլիում եթե կարմիր բան կա, ստանդարտ քեյսերն են վիքլիին»</t>
        </is>
      </c>
      <c r="H29" s="101" t="n">
        <v>46275</v>
      </c>
      <c r="I29" s="100" t="inlineStr">
        <is>
          <t>Բարձր</t>
        </is>
      </c>
      <c r="J29" s="100" t="inlineStr">
        <is>
          <t>Նոր</t>
        </is>
      </c>
      <c r="K29" s="100" t="inlineStr">
        <is>
          <t>Ես</t>
        </is>
      </c>
      <c r="L29" s="100" t="inlineStr">
        <is>
          <t>T-2026-09-09-03</t>
        </is>
      </c>
      <c r="M29" s="102" t="inlineStr">
        <is>
          <t>Սխեման համաձայնեցված է՝ հեռավաճառքի ավագ → Անահիտ → կարմիրները daily, ստանդարտները weekly</t>
        </is>
      </c>
      <c r="N29" s="102" t="inlineStr">
        <is>
          <t>Գրել՝ ռեփորթի ձևը, լրացման պարբերականությունը, ինչն է «կարմիր», և ում է գնում daily/weekly-ն</t>
        </is>
      </c>
      <c r="O29" s="102" t="inlineStr"/>
      <c r="P29" s="100" t="inlineStr"/>
      <c r="Q29" s="100" t="n"/>
      <c r="R29" s="100" t="inlineStr">
        <is>
          <t>Իմ առաջարկը</t>
        </is>
      </c>
      <c r="S29" s="102" t="inlineStr">
        <is>
          <t>Զանգերը գնում են հեռավաճառքի վրա՝ մինչև retention մասնագետ ունենանք։ Ամենօրյա գործ է, ոչ թե Bitrix-ի առանձին զադաչա</t>
        </is>
      </c>
    </row>
    <row r="30" ht="46" customHeight="1">
      <c r="A30" s="100" t="inlineStr">
        <is>
          <t>T-2026-09-09-08</t>
        </is>
      </c>
      <c r="B30" s="101" t="n">
        <v>46274</v>
      </c>
      <c r="C30" s="100" t="inlineStr">
        <is>
          <t>12:46</t>
        </is>
      </c>
      <c r="D30" s="100" t="inlineStr">
        <is>
          <t>Ես</t>
        </is>
      </c>
      <c r="E30" s="100" t="inlineStr">
        <is>
          <t>WhatsApp</t>
        </is>
      </c>
      <c r="F30" s="102" t="inlineStr">
        <is>
          <t>Churn-ի պրեդիքշնի deploy-ը՝ Gadukyan-ից</t>
        </is>
      </c>
      <c r="G30" s="102" t="inlineStr">
        <is>
          <t>«հա որտեղ նայեմ դա՞» → «deploy անեմ կտամ»</t>
        </is>
      </c>
      <c r="H30" s="100" t="n"/>
      <c r="I30" s="100" t="inlineStr">
        <is>
          <t>Միջին</t>
        </is>
      </c>
      <c r="J30" s="100" t="inlineStr">
        <is>
          <t>Սպասում</t>
        </is>
      </c>
      <c r="K30" s="100" t="inlineStr">
        <is>
          <t>Gadukyan</t>
        </is>
      </c>
      <c r="L30" s="100" t="inlineStr"/>
      <c r="M30" s="102" t="inlineStr"/>
      <c r="N30" s="102" t="inlineStr">
        <is>
          <t>Ստանալ հասանելիությունը և նայել՝ ինչ է կանխատեսում և ինչի հիման վրա</t>
        </is>
      </c>
      <c r="O30" s="102" t="inlineStr"/>
      <c r="P30" s="100" t="inlineStr"/>
      <c r="Q30" s="100" t="n"/>
      <c r="R30" s="100" t="inlineStr">
        <is>
          <t>Սպասում եմ Gadukyan-ից</t>
        </is>
      </c>
      <c r="S30" s="102" t="inlineStr"/>
    </row>
    <row r="31" ht="46" customHeight="1">
      <c r="A31" s="100" t="inlineStr">
        <is>
          <t>T-2026-09-09-09</t>
        </is>
      </c>
      <c r="B31" s="101" t="n">
        <v>46274</v>
      </c>
      <c r="C31" s="100" t="inlineStr">
        <is>
          <t>12:51</t>
        </is>
      </c>
      <c r="D31" s="100" t="inlineStr">
        <is>
          <t>Gadukyan</t>
        </is>
      </c>
      <c r="E31" s="100" t="inlineStr">
        <is>
          <t>WhatsApp</t>
        </is>
      </c>
      <c r="F31" s="102" t="inlineStr">
        <is>
          <t>Չըռնի պրեդիքշնի սիգնալների ընդլայնված ցանկ առաջարկել</t>
        </is>
      </c>
      <c r="G31" s="102" t="inlineStr">
        <is>
          <t>Ձայնային հաղորդագրություն՝ պետք է Գադուկյանին տալ churn prediction-ի սիգնալների ցանկ. բացի եղածներից՝ ինչ ավելացնել</t>
        </is>
      </c>
      <c r="H31" s="101" t="n">
        <v>46274</v>
      </c>
      <c r="I31" s="100" t="inlineStr">
        <is>
          <t>Բարձր</t>
        </is>
      </c>
      <c r="J31" s="100" t="inlineStr">
        <is>
          <t>Ընթացքում</t>
        </is>
      </c>
      <c r="K31" s="100" t="inlineStr">
        <is>
          <t>Ես + Claude</t>
        </is>
      </c>
      <c r="L31" s="100" t="inlineStr"/>
      <c r="M31" s="102" t="inlineStr">
        <is>
          <t>Երկու բաց արդեն նշված է՝ բողոքով զանգերի քանակը ամսվա ընթացքում, և տարեկան պայմանագրով բաժանորդների առանձին մոտեցումը</t>
        </is>
      </c>
      <c r="N31" s="102" t="inlineStr">
        <is>
          <t>Claude-ը կազմում է ընդլայնված ցանկը, ես ստուգում եմ և տալիս Գադուկյանին</t>
        </is>
      </c>
      <c r="O31" s="102" t="inlineStr"/>
      <c r="P31" s="100" t="inlineStr"/>
      <c r="Q31" s="100" t="n"/>
      <c r="R31" s="100" t="inlineStr">
        <is>
          <t>Քո նշածը</t>
        </is>
      </c>
      <c r="S31" s="102" t="inlineStr">
        <is>
          <t>Կապված է T-2026-09-09-04-ի հետ՝ եղած սիգնալների վերանայման</t>
        </is>
      </c>
    </row>
  </sheetData>
  <autoFilter ref="A1:S31"/>
  <conditionalFormatting sqref="A2:S400">
    <cfRule type="expression" priority="1" dxfId="0">
      <formula>AND($H2&lt;&gt;"",$H2&lt;TODAY(),$J2&lt;&gt;"Կատարված",$J2&lt;&gt;"Չեղարկված")</formula>
    </cfRule>
    <cfRule type="expression" priority="2" dxfId="1">
      <formula>AND($H2=TODAY(),$J2&lt;&gt;"Կատարված")</formula>
    </cfRule>
    <cfRule type="expression" priority="3" dxfId="2">
      <formula>OR($J2="Կատարված",$J2="Չեղարկված")</formula>
    </cfRule>
  </conditionalFormatting>
  <dataValidations count="2">
    <dataValidation sqref="J2:J400" showDropDown="0" showInputMessage="0" showErrorMessage="0" allowBlank="1" type="list">
      <formula1>"Նոր,Ընթացքում,Սպասում,Կատարված,Չեղարկված"</formula1>
    </dataValidation>
    <dataValidation sqref="I2:I400" showDropDown="0" showInputMessage="0" showErrorMessage="0" allowBlank="1" type="list">
      <formula1>"Բարձր,Միջին,Ցածր"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9A6A00"/>
    <outlinePr summaryBelow="1" summaryRight="1"/>
    <pageSetUpPr/>
  </sheetPr>
  <dimension ref="A1:P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1" customWidth="1" min="2" max="2"/>
    <col width="15" customWidth="1" min="3" max="3"/>
    <col width="11" customWidth="1" min="4" max="4"/>
    <col width="40" customWidth="1" min="5" max="5"/>
    <col width="30" customWidth="1" min="6" max="6"/>
    <col width="12" customWidth="1" min="7" max="7"/>
    <col width="11" customWidth="1" min="8" max="8"/>
    <col width="12" customWidth="1" min="9" max="9"/>
    <col width="13" customWidth="1" min="10" max="10"/>
    <col width="13" customWidth="1" min="11" max="11"/>
    <col width="28" customWidth="1" min="12" max="12"/>
    <col width="18" customWidth="1" min="13" max="13"/>
    <col width="11" customWidth="1" min="14" max="14"/>
    <col width="20" customWidth="1" min="15" max="15"/>
    <col width="34" customWidth="1" min="16" max="16"/>
  </cols>
  <sheetData>
    <row r="1" ht="34" customHeight="1">
      <c r="A1" s="99" t="inlineStr">
        <is>
          <t>ID</t>
        </is>
      </c>
      <c r="B1" s="99" t="inlineStr">
        <is>
          <t>Տրվել է</t>
        </is>
      </c>
      <c r="C1" s="99" t="inlineStr">
        <is>
          <t>Ում եմ տվել</t>
        </is>
      </c>
      <c r="D1" s="99" t="inlineStr">
        <is>
          <t>Ալիք</t>
        </is>
      </c>
      <c r="E1" s="99" t="inlineStr">
        <is>
          <t>Առաջադրանք</t>
        </is>
      </c>
      <c r="F1" s="99" t="inlineStr">
        <is>
          <t>Ինչի համար</t>
        </is>
      </c>
      <c r="G1" s="99" t="inlineStr">
        <is>
          <t>Վերջնաժամկետ</t>
        </is>
      </c>
      <c r="H1" s="99" t="inlineStr">
        <is>
          <t>Առաջնահերթ.</t>
        </is>
      </c>
      <c r="I1" s="99" t="inlineStr">
        <is>
          <t>Կարգավիճակ</t>
        </is>
      </c>
      <c r="J1" s="99" t="inlineStr">
        <is>
          <t>Վերջին ստուգում</t>
        </is>
      </c>
      <c r="K1" s="99" t="inlineStr">
        <is>
          <t>Հաջորդ ստուգում</t>
        </is>
      </c>
      <c r="L1" s="99" t="inlineStr">
        <is>
          <t>Ստացվածը</t>
        </is>
      </c>
      <c r="M1" s="99" t="inlineStr">
        <is>
          <t>Bitrix24</t>
        </is>
      </c>
      <c r="N1" s="99" t="inlineStr">
        <is>
          <t>Փակվել է</t>
        </is>
      </c>
      <c r="O1" s="99" t="inlineStr">
        <is>
          <t>Ժամկետի աղբյուր</t>
        </is>
      </c>
      <c r="P1" s="99" t="inlineStr">
        <is>
          <t>Նշում</t>
        </is>
      </c>
    </row>
    <row r="2" ht="46" customHeight="1">
      <c r="A2" s="100" t="inlineStr">
        <is>
          <t>H-2026-09-05-01</t>
        </is>
      </c>
      <c r="B2" s="101" t="n">
        <v>46270</v>
      </c>
      <c r="C2" s="100" t="inlineStr">
        <is>
          <t>Բոլոր ղեկավարներ</t>
        </is>
      </c>
      <c r="D2" s="100" t="inlineStr">
        <is>
          <t>WhatsApp</t>
        </is>
      </c>
      <c r="E2" s="102" t="inlineStr">
        <is>
          <t>JD-ները և որակավորման պահանջները նայել յուրաքանչյուրն իր մասով և ՕԿ տալ</t>
        </is>
      </c>
      <c r="F2" s="102" t="inlineStr">
        <is>
          <t>Հաստիքացուցակի հետ մեկ պաշտոնական փաստաթուղթ դառնալու համար</t>
        </is>
      </c>
      <c r="G2" s="100" t="n"/>
      <c r="H2" s="100" t="inlineStr">
        <is>
          <t>Միջին</t>
        </is>
      </c>
      <c r="I2" s="100" t="inlineStr">
        <is>
          <t>Ընթացքում</t>
        </is>
      </c>
      <c r="J2" s="101" t="n">
        <v>46274</v>
      </c>
      <c r="K2" s="101" t="n">
        <v>46276</v>
      </c>
      <c r="L2" s="102" t="inlineStr">
        <is>
          <t>Ընդհանուր ՕԿ կա, մանրամասն դիտողությունները ընթացքում են</t>
        </is>
      </c>
      <c r="M2" s="100" t="inlineStr"/>
      <c r="N2" s="100" t="n"/>
      <c r="O2" s="100" t="inlineStr">
        <is>
          <t>Ստուգման օր</t>
        </is>
      </c>
      <c r="P2" s="102" t="inlineStr">
        <is>
          <t>Բոլորին ուղարկված է, նայում են</t>
        </is>
      </c>
    </row>
    <row r="3" ht="46" customHeight="1">
      <c r="A3" s="100" t="inlineStr">
        <is>
          <t>H-2026-09-05-02</t>
        </is>
      </c>
      <c r="B3" s="101" t="n">
        <v>46270</v>
      </c>
      <c r="C3" s="100" t="inlineStr">
        <is>
          <t>Մագա</t>
        </is>
      </c>
      <c r="D3" s="100" t="inlineStr">
        <is>
          <t>Բանավոր</t>
        </is>
      </c>
      <c r="E3" s="102" t="inlineStr">
        <is>
          <t>Բիլինգի տեխնիկական բնութագիրը տալ (ոչ մեթոդոլոգիա)</t>
        </is>
      </c>
      <c r="F3" s="102" t="inlineStr">
        <is>
          <t>Ըստ դրա Gadukyan-ը տալու է ճիշտ թվեր</t>
        </is>
      </c>
      <c r="G3" s="100" t="n"/>
      <c r="H3" s="100" t="inlineStr">
        <is>
          <t>Բարձր</t>
        </is>
      </c>
      <c r="I3" s="100" t="inlineStr">
        <is>
          <t>Ընթացքում</t>
        </is>
      </c>
      <c r="J3" s="101" t="n">
        <v>46272</v>
      </c>
      <c r="K3" s="101" t="n">
        <v>46275</v>
      </c>
      <c r="L3" s="102" t="inlineStr">
        <is>
          <t>Ստացվել է մեթոդոլոգիա, ոչ տեխնիկական բնութագիր</t>
        </is>
      </c>
      <c r="M3" s="100" t="inlineStr"/>
      <c r="N3" s="100" t="n"/>
      <c r="O3" s="100" t="inlineStr">
        <is>
          <t>Ստուգման օր</t>
        </is>
      </c>
      <c r="P3" s="102" t="inlineStr">
        <is>
          <t>Հայկը կպցվել է օգնելու</t>
        </is>
      </c>
    </row>
    <row r="4" ht="46" customHeight="1">
      <c r="A4" s="100" t="inlineStr">
        <is>
          <t>H-2026-09-07-01</t>
        </is>
      </c>
      <c r="B4" s="101" t="n">
        <v>46272</v>
      </c>
      <c r="C4" s="100" t="inlineStr">
        <is>
          <t>Մագա</t>
        </is>
      </c>
      <c r="D4" s="100" t="inlineStr">
        <is>
          <t>Բանավոր</t>
        </is>
      </c>
      <c r="E4" s="102" t="inlineStr">
        <is>
          <t>Բերել բոլոր հնարավոր պատճառները՝ ինչու է ակտիվների քանակը իջնում ~300-ով, հետո բարձրանում</t>
        </is>
      </c>
      <c r="F4" s="102" t="inlineStr">
        <is>
          <t>Gadukyan-ը թվերում հստակ խնդիր է տեսնում</t>
        </is>
      </c>
      <c r="G4" s="100" t="n"/>
      <c r="H4" s="100" t="inlineStr">
        <is>
          <t>Բարձր</t>
        </is>
      </c>
      <c r="I4" s="100" t="inlineStr">
        <is>
          <t>Սպասում</t>
        </is>
      </c>
      <c r="J4" s="101" t="n">
        <v>46272</v>
      </c>
      <c r="K4" s="101" t="n">
        <v>46275</v>
      </c>
      <c r="L4" s="102" t="inlineStr"/>
      <c r="M4" s="100" t="inlineStr"/>
      <c r="N4" s="100" t="n"/>
      <c r="O4" s="100" t="inlineStr">
        <is>
          <t>Ստուգման օր</t>
        </is>
      </c>
      <c r="P4" s="102" t="inlineStr">
        <is>
          <t>Պետք է հանի տարբեր ռեփորթներ։ Հնարավոր է կապված լինի T-2026-09-07-10-ի հետ</t>
        </is>
      </c>
    </row>
    <row r="5" ht="46" customHeight="1">
      <c r="A5" s="100" t="inlineStr">
        <is>
          <t>H-2026-09-08-01</t>
        </is>
      </c>
      <c r="B5" s="101" t="n">
        <v>46273</v>
      </c>
      <c r="C5" s="100" t="inlineStr">
        <is>
          <t>Մագա</t>
        </is>
      </c>
      <c r="D5" s="100" t="inlineStr">
        <is>
          <t>Bitrix24</t>
        </is>
      </c>
      <c r="E5" s="102" t="inlineStr">
        <is>
          <t>Բոլոր իրավաբանական անձանց մոտ բիլինգում ուղղել ՀՎՀՀ-ն</t>
        </is>
      </c>
      <c r="F5" s="102" t="inlineStr">
        <is>
          <t>Որ reconciliation-ը աշխատի — T-2026-09-08-02</t>
        </is>
      </c>
      <c r="G5" s="101" t="n">
        <v>46275</v>
      </c>
      <c r="H5" s="100" t="inlineStr">
        <is>
          <t>Բարձր</t>
        </is>
      </c>
      <c r="I5" s="100" t="inlineStr">
        <is>
          <t>Սպասում</t>
        </is>
      </c>
      <c r="J5" s="101" t="n">
        <v>46274</v>
      </c>
      <c r="K5" s="101" t="n">
        <v>46275</v>
      </c>
      <c r="L5" s="102" t="inlineStr"/>
      <c r="M5" s="100" t="inlineStr">
        <is>
          <t>Bitrix24 թասկ՝ ժամկետը 09-10, 11:00</t>
        </is>
      </c>
      <c r="N5" s="100" t="n"/>
      <c r="O5" s="100" t="inlineStr">
        <is>
          <t>Ստուգման օր</t>
        </is>
      </c>
      <c r="P5" s="102" t="inlineStr">
        <is>
          <t>Իրական թասկը Bitrix24-ում է</t>
        </is>
      </c>
    </row>
    <row r="6" ht="46" customHeight="1">
      <c r="A6" s="100" t="inlineStr">
        <is>
          <t>H-2026-09-08-02</t>
        </is>
      </c>
      <c r="B6" s="101" t="n">
        <v>46273</v>
      </c>
      <c r="C6" s="100" t="inlineStr">
        <is>
          <t>Մագա</t>
        </is>
      </c>
      <c r="D6" s="100" t="inlineStr">
        <is>
          <t>WhatsApp</t>
        </is>
      </c>
      <c r="E6" s="102" t="inlineStr">
        <is>
          <t>Գրել իր գործառույթների մանրամասն, քայլ առ քայլ նկարագիրը</t>
        </is>
      </c>
      <c r="F6" s="102" t="inlineStr">
        <is>
          <t>Ավտոմատացման և reconciliation-ի փոխանցման համար — T-2026-09-08-03</t>
        </is>
      </c>
      <c r="G6" s="101" t="n">
        <v>46274</v>
      </c>
      <c r="H6" s="100" t="inlineStr">
        <is>
          <t>Բարձր</t>
        </is>
      </c>
      <c r="I6" s="100" t="inlineStr">
        <is>
          <t>Ընթացքում</t>
        </is>
      </c>
      <c r="J6" s="101" t="n">
        <v>46274</v>
      </c>
      <c r="K6" s="101" t="n">
        <v>46274</v>
      </c>
      <c r="L6" s="102" t="inlineStr">
        <is>
          <t>Առաջին տարբերակը՝ մակերեսային</t>
        </is>
      </c>
      <c r="M6" s="100" t="inlineStr"/>
      <c r="N6" s="100" t="n"/>
      <c r="O6" s="100" t="inlineStr">
        <is>
          <t>Ստուգման օր</t>
        </is>
      </c>
      <c r="P6" s="102" t="inlineStr">
        <is>
          <t>09-09՝ Մագան անձամբ գալիս է ընդմիջումից հետո։ Gadukyan՝ «էսօր տվեք մանրամասն, շուտ անենք ուրբաթից խոդենք»</t>
        </is>
      </c>
    </row>
    <row r="7" ht="46" customHeight="1">
      <c r="A7" s="100" t="inlineStr">
        <is>
          <t>H-2026-09-08-03</t>
        </is>
      </c>
      <c r="B7" s="101" t="n">
        <v>46273</v>
      </c>
      <c r="C7" s="100" t="inlineStr">
        <is>
          <t>Մագա</t>
        </is>
      </c>
      <c r="D7" s="100" t="inlineStr">
        <is>
          <t>WhatsApp</t>
        </is>
      </c>
      <c r="E7" s="102" t="inlineStr">
        <is>
          <t>Կարդալ բիլինգի հայերեն փաստաթղթերը և տալ եզրակացություն</t>
        </is>
      </c>
      <c r="F7" s="102" t="inlineStr">
        <is>
          <t>Որ ներսում էլ հասկանան համակարգը</t>
        </is>
      </c>
      <c r="G7" s="100" t="n"/>
      <c r="H7" s="100" t="inlineStr">
        <is>
          <t>Միջին</t>
        </is>
      </c>
      <c r="I7" s="100" t="inlineStr">
        <is>
          <t>Սպասում</t>
        </is>
      </c>
      <c r="J7" s="101" t="n">
        <v>46273</v>
      </c>
      <c r="K7" s="101" t="n">
        <v>46276</v>
      </c>
      <c r="L7" s="102" t="inlineStr"/>
      <c r="M7" s="100" t="inlineStr"/>
      <c r="N7" s="100" t="n"/>
      <c r="O7" s="100" t="inlineStr">
        <is>
          <t>Ստուգման օր</t>
        </is>
      </c>
      <c r="P7" s="102" t="inlineStr"/>
    </row>
    <row r="8" ht="46" customHeight="1">
      <c r="A8" s="100" t="inlineStr">
        <is>
          <t>H-2026-09-09-01</t>
        </is>
      </c>
      <c r="B8" s="101" t="n">
        <v>46274</v>
      </c>
      <c r="C8" s="100" t="inlineStr">
        <is>
          <t>Ռիչ</t>
        </is>
      </c>
      <c r="D8" s="100" t="inlineStr">
        <is>
          <t>Բանավոր</t>
        </is>
      </c>
      <c r="E8" s="102" t="inlineStr">
        <is>
          <t>Հեռավաճառքի օպերացիոն կտորը՝ ինչ են անում, ոնց են անում, ինչ սկրիպտով</t>
        </is>
      </c>
      <c r="F8" s="102" t="inlineStr">
        <is>
          <t>Մտնում է վաճառքի ռազմավարության մեջ — T-2026-09-09-01</t>
        </is>
      </c>
      <c r="G8" s="101" t="n">
        <v>46274</v>
      </c>
      <c r="H8" s="100" t="inlineStr">
        <is>
          <t>Բարձր</t>
        </is>
      </c>
      <c r="I8" s="100" t="inlineStr">
        <is>
          <t>Նոր</t>
        </is>
      </c>
      <c r="J8" s="100" t="n"/>
      <c r="K8" s="101" t="n">
        <v>46274</v>
      </c>
      <c r="L8" s="102" t="inlineStr"/>
      <c r="M8" s="100" t="inlineStr"/>
      <c r="N8" s="100" t="n"/>
      <c r="O8" s="100" t="inlineStr">
        <is>
          <t>Ստուգման օր</t>
        </is>
      </c>
      <c r="P8" s="102" t="inlineStr">
        <is>
          <t>Հինգշաբթի ժողովից առաջ պետք է պատրաստ լինի</t>
        </is>
      </c>
    </row>
    <row r="9" ht="46" customHeight="1">
      <c r="A9" s="100" t="inlineStr">
        <is>
          <t>H-2026-09-09-02</t>
        </is>
      </c>
      <c r="B9" s="101" t="n">
        <v>46274</v>
      </c>
      <c r="C9" s="100" t="inlineStr">
        <is>
          <t>Ռիչ</t>
        </is>
      </c>
      <c r="D9" s="100" t="inlineStr">
        <is>
          <t>Բանավոր</t>
        </is>
      </c>
      <c r="E9" s="102" t="inlineStr">
        <is>
          <t>Ստանձնել retention-ի flow-ը՝ Համոյի փոխարեն</t>
        </is>
      </c>
      <c r="F9" s="102" t="inlineStr">
        <is>
          <t>Churn-ը կանգնեցնելու համար — T-2026-09-09-03</t>
        </is>
      </c>
      <c r="G9" s="101" t="n">
        <v>46274</v>
      </c>
      <c r="H9" s="100" t="inlineStr">
        <is>
          <t>Բարձր</t>
        </is>
      </c>
      <c r="I9" s="100" t="inlineStr">
        <is>
          <t>Նոր</t>
        </is>
      </c>
      <c r="J9" s="100" t="n"/>
      <c r="K9" s="101" t="n">
        <v>46275</v>
      </c>
      <c r="L9" s="102" t="inlineStr"/>
      <c r="M9" s="100" t="inlineStr"/>
      <c r="N9" s="100" t="n"/>
      <c r="O9" s="100" t="inlineStr">
        <is>
          <t>Ստուգման օր</t>
        </is>
      </c>
      <c r="P9" s="102" t="inlineStr">
        <is>
          <t>Զանգերը գնում են հեռավաճառքի վրա՝ մինչև retention մասնագետ ունենանք</t>
        </is>
      </c>
    </row>
    <row r="10" ht="46" customHeight="1">
      <c r="A10" s="100" t="inlineStr">
        <is>
          <t>H-2026-09-09-03</t>
        </is>
      </c>
      <c r="B10" s="101" t="n">
        <v>46274</v>
      </c>
      <c r="C10" s="100" t="inlineStr">
        <is>
          <t>Անահիտ + Մագա</t>
        </is>
      </c>
      <c r="D10" s="100" t="inlineStr">
        <is>
          <t>Բանավոր</t>
        </is>
      </c>
      <c r="E10" s="102" t="inlineStr">
        <is>
          <t>save-list-ը մշակել՝ բաժանել և սկսել զանգերը</t>
        </is>
      </c>
      <c r="F10" s="102" t="inlineStr">
        <is>
          <t>Gadukyan-ը ուղարկել է ցանկը — T-2026-09-09-06</t>
        </is>
      </c>
      <c r="G10" s="101" t="n">
        <v>46275</v>
      </c>
      <c r="H10" s="100" t="inlineStr">
        <is>
          <t>Բարձր</t>
        </is>
      </c>
      <c r="I10" s="100" t="inlineStr">
        <is>
          <t>Նոր</t>
        </is>
      </c>
      <c r="J10" s="100" t="n"/>
      <c r="K10" s="101" t="n">
        <v>46275</v>
      </c>
      <c r="L10" s="102" t="inlineStr"/>
      <c r="M10" s="100" t="inlineStr"/>
      <c r="N10" s="100" t="n"/>
      <c r="O10" s="100" t="inlineStr">
        <is>
          <t>Ստուգման օր</t>
        </is>
      </c>
      <c r="P10" s="102" t="inlineStr">
        <is>
          <t>Ցանկը կարելի է 2 մասի բաժանել՝ Մագայի և Անահիտի վրա</t>
        </is>
      </c>
    </row>
  </sheetData>
  <autoFilter ref="A1:P10"/>
  <conditionalFormatting sqref="A2:P400">
    <cfRule type="expression" priority="1" dxfId="0">
      <formula>AND($G2&lt;&gt;"",$G2&lt;TODAY(),$I2&lt;&gt;"Կատարված",$I2&lt;&gt;"Չեղարկված")</formula>
    </cfRule>
    <cfRule type="expression" priority="2" dxfId="1">
      <formula>AND($G2=TODAY(),$I2&lt;&gt;"Կատարված")</formula>
    </cfRule>
    <cfRule type="expression" priority="3" dxfId="2">
      <formula>OR($I2="Կատարված",$I2="Չեղարկված")</formula>
    </cfRule>
  </conditionalFormatting>
  <dataValidations count="2">
    <dataValidation sqref="I2:I400" showDropDown="0" showInputMessage="0" showErrorMessage="0" allowBlank="1" type="list">
      <formula1>"Նոր,Ընթացքում,Սպասում,Կատարված,Չեղարկված"</formula1>
    </dataValidation>
    <dataValidation sqref="H2:H400" showDropDown="0" showInputMessage="0" showErrorMessage="0" allowBlank="1" type="list">
      <formula1>"Բարձր,Միջին,Ցածր"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F6B36"/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48" customWidth="1" min="3" max="3"/>
    <col width="16" customWidth="1" min="4" max="4"/>
    <col width="32" customWidth="1" min="5" max="5"/>
    <col width="32" customWidth="1" min="6" max="6"/>
  </cols>
  <sheetData>
    <row r="1" ht="34" customHeight="1">
      <c r="A1" s="99" t="inlineStr">
        <is>
          <t>Ամսաթիվ</t>
        </is>
      </c>
      <c r="B1" s="99" t="inlineStr">
        <is>
          <t>Առաջադրանք</t>
        </is>
      </c>
      <c r="C1" s="99" t="inlineStr">
        <is>
          <t>Ինչ արվեց</t>
        </is>
      </c>
      <c r="D1" s="99" t="inlineStr">
        <is>
          <t>Ում հետ</t>
        </is>
      </c>
      <c r="E1" s="99" t="inlineStr">
        <is>
          <t>Արդյունք</t>
        </is>
      </c>
      <c r="F1" s="99" t="inlineStr">
        <is>
          <t>Հաջորդ քայլ</t>
        </is>
      </c>
    </row>
    <row r="2" ht="30" customHeight="1">
      <c r="A2" s="103" t="n">
        <v>46274</v>
      </c>
      <c r="B2" s="102" t="inlineStr">
        <is>
          <t>T-2026-09-08-01</t>
        </is>
      </c>
      <c r="C2" s="102" t="inlineStr">
        <is>
          <t>Ամբողջ չատը վերլուծվեց, կազմվեց ռեեստրը՝ ստացված և տրված</t>
        </is>
      </c>
      <c r="D2" s="102" t="inlineStr">
        <is>
          <t>—</t>
        </is>
      </c>
      <c r="E2" s="102" t="inlineStr">
        <is>
          <t>23 ստացված + 7 տրված</t>
        </is>
      </c>
      <c r="F2" s="102" t="inlineStr">
        <is>
          <t>Ուղարկել գրաֆիկը</t>
        </is>
      </c>
    </row>
    <row r="3" ht="30" customHeight="1">
      <c r="A3" s="103" t="n">
        <v>46274</v>
      </c>
      <c r="B3" s="102" t="inlineStr">
        <is>
          <t>T-2026-09-07-06</t>
        </is>
      </c>
      <c r="C3" s="102" t="inlineStr">
        <is>
          <t>Roadmap-ը կարդացվեց, հայտնաբերվեց հակասությունը BI-ի մասով</t>
        </is>
      </c>
      <c r="D3" s="102" t="inlineStr">
        <is>
          <t>—</t>
        </is>
      </c>
      <c r="E3" s="102" t="inlineStr">
        <is>
          <t>BI-ը roadmap-ում բիլինգի վրա է, դիրքորոշումը՝ հանել</t>
        </is>
      </c>
      <c r="F3" s="102" t="inlineStr">
        <is>
          <t>Միասին որոշել</t>
        </is>
      </c>
    </row>
    <row r="4" ht="30" customHeight="1">
      <c r="A4" s="103" t="n">
        <v>46274</v>
      </c>
      <c r="B4" s="102" t="inlineStr">
        <is>
          <t>T-2026-09-09-03</t>
        </is>
      </c>
      <c r="C4" s="102" t="inlineStr">
        <is>
          <t>Retention flow-ը փոխանցվեց Համոյից Ռիչին</t>
        </is>
      </c>
      <c r="D4" s="102" t="inlineStr">
        <is>
          <t>Gadukyan</t>
        </is>
      </c>
      <c r="E4" s="102" t="inlineStr">
        <is>
          <t>Հանձնարարված</t>
        </is>
      </c>
      <c r="F4" s="102" t="inlineStr">
        <is>
          <t>Գրել flow-ը փաստաթղթում</t>
        </is>
      </c>
    </row>
    <row r="5" ht="30" customHeight="1">
      <c r="A5" s="103" t="n">
        <v>46274</v>
      </c>
      <c r="B5" s="102" t="inlineStr">
        <is>
          <t>T-2026-09-09-06</t>
        </is>
      </c>
      <c r="C5" s="102" t="inlineStr">
        <is>
          <t>Ստացվեց save-list (2).xlsx՝ չըռն-ռիսկային բաժանորդների ցանկը</t>
        </is>
      </c>
      <c r="D5" s="102" t="inlineStr">
        <is>
          <t>Gadukyan</t>
        </is>
      </c>
      <c r="E5" s="102" t="inlineStr">
        <is>
          <t>Ստացված, բովանդակությունը հաստատված</t>
        </is>
      </c>
      <c r="F5" s="102" t="inlineStr">
        <is>
          <t>Մշակել Անահիտի և Մագայի հետ</t>
        </is>
      </c>
    </row>
    <row r="6" ht="30" customHeight="1">
      <c r="A6" s="103" t="n">
        <v>46274</v>
      </c>
      <c r="B6" s="102" t="inlineStr">
        <is>
          <t>T-2026-09-09-07</t>
        </is>
      </c>
      <c r="C6" s="102" t="inlineStr">
        <is>
          <t>Համաձայնեցվեց retention-ի հետևման սխեման</t>
        </is>
      </c>
      <c r="D6" s="102" t="inlineStr">
        <is>
          <t>Gadukyan</t>
        </is>
      </c>
      <c r="E6" s="102" t="inlineStr">
        <is>
          <t>Հեռավաճառքի ավագ → Անահիտ → daily/weekly</t>
        </is>
      </c>
      <c r="F6" s="102" t="inlineStr">
        <is>
          <t>Ֆորմալացնել ռեփորթի ձևը</t>
        </is>
      </c>
    </row>
    <row r="7" ht="30" customHeight="1">
      <c r="A7" s="103" t="n">
        <v>46273</v>
      </c>
      <c r="B7" s="102" t="inlineStr">
        <is>
          <t>T-2026-09-07-02</t>
        </is>
      </c>
      <c r="C7" s="102" t="inlineStr">
        <is>
          <t>Ուղարկվեց վաճառքի ռազմավարության առաջին տարբերակը</t>
        </is>
      </c>
      <c r="D7" s="102" t="inlineStr">
        <is>
          <t>Gadukyan</t>
        </is>
      </c>
      <c r="E7" s="102" t="inlineStr">
        <is>
          <t>Ուղարկված 15:02</t>
        </is>
      </c>
      <c r="F7" s="102" t="inlineStr">
        <is>
          <t>Ավելացնել հեռավաճառք + կորպորատիվ</t>
        </is>
      </c>
    </row>
    <row r="8" ht="30" customHeight="1">
      <c r="A8" s="103" t="n">
        <v>46273</v>
      </c>
      <c r="B8" s="102" t="inlineStr">
        <is>
          <t>H-2026-09-08-03</t>
        </is>
      </c>
      <c r="C8" s="102" t="inlineStr">
        <is>
          <t>Բիլինգի հայերեն փաստաթղթերը տրվեցին Մագային</t>
        </is>
      </c>
      <c r="D8" s="102" t="inlineStr">
        <is>
          <t>Մագա</t>
        </is>
      </c>
      <c r="E8" s="102" t="inlineStr">
        <is>
          <t>Տրված</t>
        </is>
      </c>
      <c r="F8" s="102" t="inlineStr">
        <is>
          <t>Սպասել եզրակացության</t>
        </is>
      </c>
    </row>
    <row r="9" ht="30" customHeight="1">
      <c r="A9" s="103" t="n">
        <v>46273</v>
      </c>
      <c r="B9" s="102" t="inlineStr">
        <is>
          <t>H-2026-09-08-01</t>
        </is>
      </c>
      <c r="C9" s="102" t="inlineStr">
        <is>
          <t>ՀՎՀՀ-ների ուղղման թասկը դրվեց Bitrix24-ում</t>
        </is>
      </c>
      <c r="D9" s="102" t="inlineStr">
        <is>
          <t>Մագա</t>
        </is>
      </c>
      <c r="E9" s="102" t="inlineStr">
        <is>
          <t>Թասկ դրված, ժամկետ՝ 09-10 11:00</t>
        </is>
      </c>
      <c r="F9" s="102" t="inlineStr">
        <is>
          <t>09-10-ին ստուգել</t>
        </is>
      </c>
    </row>
    <row r="10" ht="30" customHeight="1">
      <c r="A10" s="103" t="n">
        <v>46272</v>
      </c>
      <c r="B10" s="102" t="inlineStr">
        <is>
          <t>T-2026-09-07-01</t>
        </is>
      </c>
      <c r="C10" s="102" t="inlineStr">
        <is>
          <t>Հաստիքացուցակում ավելացվեցին կրիտիկական հաստիքները</t>
        </is>
      </c>
      <c r="D10" s="102" t="inlineStr">
        <is>
          <t>Gadukyan</t>
        </is>
      </c>
      <c r="E10" s="102" t="inlineStr">
        <is>
          <t>Ուղարկված 16:58</t>
        </is>
      </c>
      <c r="F10" s="102" t="inlineStr">
        <is>
          <t>—</t>
        </is>
      </c>
    </row>
    <row r="11" ht="30" customHeight="1">
      <c r="A11" s="103" t="n">
        <v>46272</v>
      </c>
      <c r="B11" s="102" t="inlineStr">
        <is>
          <t>H-2026-09-05-02</t>
        </is>
      </c>
      <c r="C11" s="102" t="inlineStr">
        <is>
          <t>Ստացվեց Մագայի փաստաթուղթը</t>
        </is>
      </c>
      <c r="D11" s="102" t="inlineStr">
        <is>
          <t>Մագա</t>
        </is>
      </c>
      <c r="E11" s="102" t="inlineStr">
        <is>
          <t>Մեթոդոլոգիա է, ոչ տեխնիկական բնութագիր</t>
        </is>
      </c>
      <c r="F11" s="102" t="inlineStr">
        <is>
          <t>Կրկնել պահանջը</t>
        </is>
      </c>
    </row>
    <row r="12" ht="30" customHeight="1">
      <c r="A12" s="103" t="n">
        <v>46272</v>
      </c>
      <c r="B12" s="102" t="inlineStr">
        <is>
          <t>T-2026-09-07-06</t>
        </is>
      </c>
      <c r="C12" s="102" t="inlineStr">
        <is>
          <t>Gadukyan-ը ուղարկեց բիլինգի տարեկան roadmap-ը</t>
        </is>
      </c>
      <c r="D12" s="102" t="inlineStr">
        <is>
          <t>Gadukyan</t>
        </is>
      </c>
      <c r="E12" s="102" t="inlineStr">
        <is>
          <t>Ստացված</t>
        </is>
      </c>
      <c r="F12" s="102" t="inlineStr">
        <is>
          <t>Միասին անցնել փաստաթղթով</t>
        </is>
      </c>
    </row>
    <row r="13" ht="30" customHeight="1">
      <c r="A13" s="103" t="n">
        <v>46270</v>
      </c>
      <c r="B13" s="102" t="inlineStr">
        <is>
          <t>H-2026-09-05-01</t>
        </is>
      </c>
      <c r="C13" s="102" t="inlineStr">
        <is>
          <t>JD-ները ուղարկվեցին բոլոր ղեկավարներին՝ ՕԿ-ի համար</t>
        </is>
      </c>
      <c r="D13" s="102" t="inlineStr">
        <is>
          <t>Ղեկավարներ</t>
        </is>
      </c>
      <c r="E13" s="102" t="inlineStr">
        <is>
          <t>Ուղարկված</t>
        </is>
      </c>
      <c r="F13" s="102" t="inlineStr">
        <is>
          <t>Հավաքել դիտողությունները</t>
        </is>
      </c>
    </row>
    <row r="14" ht="30" customHeight="1">
      <c r="A14" s="103" t="n">
        <v>46270</v>
      </c>
      <c r="B14" s="102" t="inlineStr">
        <is>
          <t>T-2026-09-07-13</t>
        </is>
      </c>
      <c r="C14" s="102" t="inlineStr">
        <is>
          <t>Միկրոբիլի 8 կարգավիճակի սահմանումը ուղարկվեց</t>
        </is>
      </c>
      <c r="D14" s="102" t="inlineStr">
        <is>
          <t>Gadukyan</t>
        </is>
      </c>
      <c r="E14" s="102" t="inlineStr">
        <is>
          <t>Ուղարկված</t>
        </is>
      </c>
      <c r="F14" s="102" t="inlineStr">
        <is>
          <t>Սպասել հաստատման</t>
        </is>
      </c>
    </row>
  </sheetData>
  <autoFilter ref="A1:F1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9099"/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2" customWidth="1" min="3" max="3"/>
    <col width="20" customWidth="1" min="4" max="4"/>
    <col width="56" customWidth="1" min="5" max="5"/>
  </cols>
  <sheetData>
    <row r="1" ht="34" customHeight="1">
      <c r="A1" s="99" t="inlineStr">
        <is>
          <t>Անուն</t>
        </is>
      </c>
      <c r="B1" s="99" t="inlineStr">
        <is>
          <t>Դեր / պաշտոն</t>
        </is>
      </c>
      <c r="C1" s="99" t="inlineStr">
        <is>
          <t>Ալիք</t>
        </is>
      </c>
      <c r="D1" s="99" t="inlineStr">
        <is>
          <t>Բաց հանձնարարական</t>
        </is>
      </c>
      <c r="E1" s="99" t="inlineStr">
        <is>
          <t>Նշում</t>
        </is>
      </c>
    </row>
    <row r="2" ht="30" customHeight="1">
      <c r="A2" s="104" t="inlineStr">
        <is>
          <t>Gadukyan</t>
        </is>
      </c>
      <c r="B2" s="105" t="inlineStr">
        <is>
          <t>ՊԱՐԶԵԼՈՒ</t>
        </is>
      </c>
      <c r="C2" s="106" t="inlineStr">
        <is>
          <t>WhatsApp</t>
        </is>
      </c>
      <c r="D2" s="107" t="n">
        <v>0</v>
      </c>
      <c r="E2" s="108" t="inlineStr">
        <is>
          <t>Առաջադրանքների հիմնական աղբյուրը։ Երկուսդ էլ իրար դիմում եք «Գև»-ով</t>
        </is>
      </c>
    </row>
    <row r="3" ht="30" customHeight="1">
      <c r="A3" s="104" t="inlineStr">
        <is>
          <t>Մագա</t>
        </is>
      </c>
      <c r="B3" s="105" t="inlineStr">
        <is>
          <t>ՊԱՐԶԵԼՈՒ — բիլինգ/գործառնական</t>
        </is>
      </c>
      <c r="C3" s="106" t="inlineStr">
        <is>
          <t>Bitrix24, բանավոր</t>
        </is>
      </c>
      <c r="D3" s="107" t="n">
        <v>5</v>
      </c>
      <c r="E3" s="108" t="inlineStr">
        <is>
          <t>Ամենաշատ հանձնարարականները։ Reconciliation-ը իր վրայից հանվում է</t>
        </is>
      </c>
    </row>
    <row r="4" ht="30" customHeight="1">
      <c r="A4" s="104" t="inlineStr">
        <is>
          <t>Ռիչ</t>
        </is>
      </c>
      <c r="B4" s="105" t="inlineStr">
        <is>
          <t>ՊԱՐԶԵԼՈՒ — վաճառք/հեռավաճառք</t>
        </is>
      </c>
      <c r="C4" s="106" t="inlineStr">
        <is>
          <t>Բանավոր</t>
        </is>
      </c>
      <c r="D4" s="107" t="n">
        <v>2</v>
      </c>
      <c r="E4" s="108" t="inlineStr">
        <is>
          <t>Հեռավաճառքի ռազմավարության կտորը</t>
        </is>
      </c>
    </row>
    <row r="5" ht="30" customHeight="1">
      <c r="A5" s="104" t="inlineStr">
        <is>
          <t>Հայկ</t>
        </is>
      </c>
      <c r="B5" s="105" t="inlineStr">
        <is>
          <t>ՊԱՐԶԵԼՈՒ — մշակում</t>
        </is>
      </c>
      <c r="C5" s="106" t="inlineStr">
        <is>
          <t>Բանավոր</t>
        </is>
      </c>
      <c r="D5" s="107" t="n">
        <v>0</v>
      </c>
      <c r="E5" s="108" t="inlineStr">
        <is>
          <t>KPI-ի հաշվարկը, պորտալի հարցերի պատասխանները, թրեյնինգը</t>
        </is>
      </c>
    </row>
    <row r="6" ht="30" customHeight="1">
      <c r="A6" s="104" t="inlineStr">
        <is>
          <t>Խչո</t>
        </is>
      </c>
      <c r="B6" s="105" t="inlineStr">
        <is>
          <t>ՊԱՐԶԵԼՈՒ</t>
        </is>
      </c>
      <c r="C6" s="106" t="inlineStr">
        <is>
          <t>Բանավոր</t>
        </is>
      </c>
      <c r="D6" s="107" t="n">
        <v>0</v>
      </c>
      <c r="E6" s="108" t="inlineStr">
        <is>
          <t>Հիշատակվել է ակտիվների անկման քննարկման ժամանակ՝ «Ռեդի աչոտ ունի»</t>
        </is>
      </c>
    </row>
    <row r="7" ht="30" customHeight="1">
      <c r="A7" s="104" t="inlineStr">
        <is>
          <t>Անահիտ</t>
        </is>
      </c>
      <c r="B7" s="105" t="inlineStr">
        <is>
          <t>ՊԱՐԶԵԼՈՒ — retention / սպասարկում</t>
        </is>
      </c>
      <c r="C7" s="106" t="inlineStr">
        <is>
          <t>Բանավոր</t>
        </is>
      </c>
      <c r="D7" s="107" t="n">
        <v>0</v>
      </c>
      <c r="E7" s="108" t="inlineStr">
        <is>
          <t>Ռեթենշն սկրիպտերը իր մոտ են։ Հեռավաճառքի ավագը ռեփորթում է իրեն՝ կարմիրները daily, ստանդարտները weekly</t>
        </is>
      </c>
    </row>
    <row r="8" ht="30" customHeight="1">
      <c r="A8" s="104" t="inlineStr">
        <is>
          <t>Համո</t>
        </is>
      </c>
      <c r="B8" s="105" t="inlineStr">
        <is>
          <t>ՊԱՐԶԵԼՈՒ</t>
        </is>
      </c>
      <c r="C8" s="106" t="inlineStr">
        <is>
          <t>—</t>
        </is>
      </c>
      <c r="D8" s="107" t="n">
        <v>0</v>
      </c>
      <c r="E8" s="108" t="inlineStr">
        <is>
          <t>Retention flow-ը իր վրա էր փակվում. 09-09-ից փոխանցվում է Ռիչին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B42318"/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" customWidth="1" min="1" max="1"/>
    <col width="20" customWidth="1" min="2" max="2"/>
    <col width="44" customWidth="1" min="3" max="3"/>
    <col width="18" customWidth="1" min="4" max="4"/>
    <col width="16" customWidth="1" min="5" max="5"/>
  </cols>
  <sheetData>
    <row r="1" ht="34" customHeight="1">
      <c r="A1" s="99" t="inlineStr">
        <is>
          <t>Հարցը</t>
        </is>
      </c>
      <c r="B1" s="99" t="inlineStr">
        <is>
          <t>Ո՞վ է պատասխանում</t>
        </is>
      </c>
      <c r="C1" s="99" t="inlineStr">
        <is>
          <t>Ինչու է կարևոր</t>
        </is>
      </c>
      <c r="D1" s="99" t="inlineStr">
        <is>
          <t>Կապված ID</t>
        </is>
      </c>
      <c r="E1" s="99" t="inlineStr">
        <is>
          <t>Վիճակ</t>
        </is>
      </c>
    </row>
    <row r="2" ht="34" customHeight="1">
      <c r="A2" s="109" t="inlineStr">
        <is>
          <t>«4 ամսվա մեջ ամսական 2% իջնելու հարցը» — ինչն է իջնում 2%-ով</t>
        </is>
      </c>
      <c r="B2" s="106" t="inlineStr">
        <is>
          <t>Ես + Gadukyan</t>
        </is>
      </c>
      <c r="C2" s="108" t="inlineStr">
        <is>
          <t>Gadukyan-ի 4 պահանջից կրիտիկականն է, բովանդակությունը հայտնի չէ</t>
        </is>
      </c>
      <c r="D2" s="106" t="inlineStr">
        <is>
          <t>T-2026-09-07-10</t>
        </is>
      </c>
      <c r="E2" s="107" t="inlineStr">
        <is>
          <t>Առանձին կքննարկվի</t>
        </is>
      </c>
    </row>
    <row r="3" ht="34" customHeight="1">
      <c r="A3" s="109" t="inlineStr">
        <is>
          <t>09-07 20:14 և 20:16 ձայնային հաղորդագրությունները՝ Revenue Assurance-ի մասին</t>
        </is>
      </c>
      <c r="B3" s="106" t="inlineStr">
        <is>
          <t>Ես</t>
        </is>
      </c>
      <c r="C3" s="108" t="inlineStr">
        <is>
          <t>Export-ում չկան. հնարավոր է ՏԱ-ի պահանջները հենց այնտեղ են</t>
        </is>
      </c>
      <c r="D3" s="106" t="inlineStr">
        <is>
          <t>T-2026-09-07-07</t>
        </is>
      </c>
      <c r="E3" s="110" t="inlineStr">
        <is>
          <t>Բաց</t>
        </is>
      </c>
    </row>
    <row r="4" ht="34" customHeight="1">
      <c r="A4" s="109" t="inlineStr">
        <is>
          <t>Bitrix24-ում կան թասկեր, որոնք այս ռեեստրում չկան</t>
        </is>
      </c>
      <c r="B4" s="106" t="inlineStr">
        <is>
          <t>Ես</t>
        </is>
      </c>
      <c r="C4" s="108" t="inlineStr">
        <is>
          <t>Իրական թասկերը Bitrix24-ում են. ռեեստրը լրիվ չէ առանց դրանց</t>
        </is>
      </c>
      <c r="D4" s="106" t="inlineStr">
        <is>
          <t>—</t>
        </is>
      </c>
      <c r="E4" s="110" t="inlineStr">
        <is>
          <t>Բաց</t>
        </is>
      </c>
    </row>
    <row r="5" ht="34" customHeight="1">
      <c r="A5" s="109" t="inlineStr">
        <is>
          <t>Անձանց պաշտոնները՝ Gadukyan, Մագա, Ռիչ, Հայկ, Խչո</t>
        </is>
      </c>
      <c r="B5" s="106" t="inlineStr">
        <is>
          <t>Ես</t>
        </is>
      </c>
      <c r="C5" s="108" t="inlineStr">
        <is>
          <t>Ճիշտ հասցեագրման և հանձնարարականների համար</t>
        </is>
      </c>
      <c r="D5" s="106" t="inlineStr">
        <is>
          <t>—</t>
        </is>
      </c>
      <c r="E5" s="110" t="inlineStr">
        <is>
          <t>Բաց</t>
        </is>
      </c>
    </row>
    <row r="6" ht="34" customHeight="1">
      <c r="A6" s="109" t="inlineStr">
        <is>
          <t>Հաստիքացուցակը ուժի մեջ մտնում է հոկտեմբերի 1-ի՞ց</t>
        </is>
      </c>
      <c r="B6" s="106" t="inlineStr">
        <is>
          <t>Gadukyan</t>
        </is>
      </c>
      <c r="C6" s="108" t="inlineStr">
        <is>
          <t>Աշխատավարձերի կիրառման ամսաթիվը որոշում է</t>
        </is>
      </c>
      <c r="D6" s="106" t="inlineStr">
        <is>
          <t>T-2026-09-07-08</t>
        </is>
      </c>
      <c r="E6" s="110" t="inlineStr">
        <is>
          <t>Բաց</t>
        </is>
      </c>
    </row>
    <row r="7" ht="34" customHeight="1">
      <c r="A7" s="109" t="inlineStr">
        <is>
          <t>save-list (2).xlsx ֆայլը ֆոլդըրում չկա</t>
        </is>
      </c>
      <c r="B7" s="106" t="inlineStr">
        <is>
          <t>Ես</t>
        </is>
      </c>
      <c r="C7" s="108" t="inlineStr">
        <is>
          <t>Առանց ֆայլի չեմ կարող ցանկը բաժանել կամ սիգնալները ստուգել</t>
        </is>
      </c>
      <c r="D7" s="106" t="inlineStr">
        <is>
          <t>T-2026-09-09-06</t>
        </is>
      </c>
      <c r="E7" s="110" t="inlineStr">
        <is>
          <t>Բաց</t>
        </is>
      </c>
    </row>
    <row r="8" ht="34" customHeight="1">
      <c r="A8" s="109" t="inlineStr">
        <is>
          <t>09-09 12:51 և 12:52 ձայնային հաղորդագրությունները՝ churn-ի սիգնալների մասին</t>
        </is>
      </c>
      <c r="B8" s="106" t="inlineStr">
        <is>
          <t>Ես</t>
        </is>
      </c>
      <c r="C8" s="108" t="inlineStr">
        <is>
          <t>Դրանցից հետո է որոշվել «քել սրանք դնենք». բովանդակությունը հայտնի չէ</t>
        </is>
      </c>
      <c r="D8" s="106" t="inlineStr">
        <is>
          <t>T-2026-09-09-04</t>
        </is>
      </c>
      <c r="E8" s="110" t="inlineStr">
        <is>
          <t>Բաց</t>
        </is>
      </c>
    </row>
    <row r="9" ht="34" customHeight="1">
      <c r="A9" s="109" t="inlineStr">
        <is>
          <t>Churn-ի սիգնալների ցանկը եկել է նկարով՝ export-ում չկա</t>
        </is>
      </c>
      <c r="B9" s="106" t="inlineStr">
        <is>
          <t>Ես</t>
        </is>
      </c>
      <c r="C9" s="108" t="inlineStr">
        <is>
          <t>Առանց ցանկի չեմ կարող ասել՝ ինչ է պակասում</t>
        </is>
      </c>
      <c r="D9" s="106" t="inlineStr">
        <is>
          <t>T-2026-09-09-04</t>
        </is>
      </c>
      <c r="E9" s="110" t="inlineStr">
        <is>
          <t>Բաց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2026-09-09T10:22:47Z</dcterms:created>
  <dcterms:modified xmlns:dcterms="http://purl.org/dc/terms/" xmlns:xsi="http://www.w3.org/2001/XMLSchema-instance" xsi:type="dcterms:W3CDTF">2026-09-09T10:22:47Z</dcterms:modified>
</cp:coreProperties>
</file>