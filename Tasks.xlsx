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Admin\Desktop\Daily check\"/>
    </mc:Choice>
  </mc:AlternateContent>
  <xr:revisionPtr revIDLastSave="0" documentId="13_ncr:1_{34D9180D-BE6A-42F1-9B73-C41D3B2F3718}" xr6:coauthVersionLast="47" xr6:coauthVersionMax="47" xr10:uidLastSave="{00000000-0000-0000-0000-000000000000}"/>
  <bookViews>
    <workbookView xWindow="-120" yWindow="-120" windowWidth="29040" windowHeight="15720" xr2:uid="{00000000-000D-0000-FFFF-FFFF00000000}"/>
  </bookViews>
  <sheets>
    <sheet name="ԱՌԱՋԱԴՐԱՆՔՆԵՐ"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9" i="1" l="1"/>
  <c r="I9" i="1"/>
  <c r="F9" i="1"/>
  <c r="C9" i="1"/>
  <c r="L5" i="1"/>
  <c r="I5" i="1"/>
  <c r="F5" i="1"/>
  <c r="C5" i="1"/>
</calcChain>
</file>

<file path=xl/sharedStrings.xml><?xml version="1.0" encoding="utf-8"?>
<sst xmlns="http://schemas.openxmlformats.org/spreadsheetml/2006/main" count="75" uniqueCount="57">
  <si>
    <t>ԱՌԱՋԱԴՐԱՆՔՆԵՐ</t>
  </si>
  <si>
    <t>ԸՆԴԱՄԵՆԸ</t>
  </si>
  <si>
    <t>ԱՐՎԱԾ</t>
  </si>
  <si>
    <t>ԸՆԹԱՑՔՈՒՄ</t>
  </si>
  <si>
    <t>ՉՍԿՍՎԱԾ</t>
  </si>
  <si>
    <t>ՈՒՇԱՑԱԾ</t>
  </si>
  <si>
    <t>ԱՅՍՕՐ</t>
  </si>
  <si>
    <t>ՎԱՂԸ</t>
  </si>
  <si>
    <t>ԱՎԵԼԻ ՈՒՇ</t>
  </si>
  <si>
    <t>№</t>
  </si>
  <si>
    <t>Առաջադրանք</t>
  </si>
  <si>
    <t>Կարգավիճակ</t>
  </si>
  <si>
    <t>Մեկնաբանությունը</t>
  </si>
  <si>
    <t>Ժամկետ</t>
  </si>
  <si>
    <t>Պատասխանատու</t>
  </si>
  <si>
    <t>Հաստիքացուցակ</t>
  </si>
  <si>
    <t>Արված</t>
  </si>
  <si>
    <t>—</t>
  </si>
  <si>
    <t>Վաճառքի ռազմավարություն՝ բոլոր ուղղություններով, հինգշաբթի</t>
  </si>
  <si>
    <t>Ընթացքում</t>
  </si>
  <si>
    <t>Կարճաժամկետ ռազմավարությունը վաճառքի մասով կա, վաղը նայենք</t>
  </si>
  <si>
    <t>Գև + Ռիչ</t>
  </si>
  <si>
    <t>AI՝ որտեղ ինչ ես տեսնում</t>
  </si>
  <si>
    <t>Բոլոր բաժինների մասով լիքը բան կարանք դնենք AI-ի վրա, պետքա որոշենք ովա հետևելու դրան։</t>
  </si>
  <si>
    <t>Գև</t>
  </si>
  <si>
    <t>Վերջնական հայեցակարգ՝ ամսի 15-ին</t>
  </si>
  <si>
    <t>Ամսի 15-ին կտամ</t>
  </si>
  <si>
    <t>Բիլինգի roadmap-ը ակտուա՞լ է. եթե ոչ՝ տալ սեփականը</t>
  </si>
  <si>
    <t>Իմ քոմենթները արել եմ բիլինգի մասով, մնացածը ակտուալա, ու կապ չունի որ ուշացել ենք, եթե կպնենք կգանք դեդլայներին։</t>
  </si>
  <si>
    <t>Գև → Գադուկյան</t>
  </si>
  <si>
    <t>Միկրոբիլի ֆլոուից՝ կոնկրետ գործողությունների ցանկ, որ աշխատի</t>
  </si>
  <si>
    <t>Ստեղ կարևորա որ բիլինգը ճիշտ սետափ արած լինի, ու դաշտերը ճիշտ լրացվեն, դրանից հետո մի հատ էքսելա պետք՝ մնացածը ֆիլտրելու ու ճիշտ ռեփորթ սարքելու հարցա, դա էլ կարանք ավտոմատացնենք</t>
  </si>
  <si>
    <t>4 ամսում ամսական 2% իջնելու հարցը — ԿՐԻՏԻԿԱԿԱՆԸ</t>
  </si>
  <si>
    <t>Հենց հիմա բերել եմ կողքս, բացատրում եմ ինչա. կամ ես չեմ կարում բացատրեմ, կամ ինքը չի հասկանում։ Ասել եմ քո հետ շփվի, հասկանա, վաղը հստակ պատասխանով գա</t>
  </si>
  <si>
    <t>Մագա → Գև</t>
  </si>
  <si>
    <t>pros/cons՝ պահո՞ւմ ենք քո համակարգը</t>
  </si>
  <si>
    <t>Հա, պահում ենք։ Ես հենց հիմա զուգահեռ քլինափ եմ անում դա, որ վերջնական տեսքի բերեմ</t>
  </si>
  <si>
    <t>Իրավաբանական անձանց ՀՎՀՀ-ները ուղղել բիլինգում</t>
  </si>
  <si>
    <t>Թասքը դրել եմ, հետևել եմ, ասելա էսօր մինչև 7-ը արած կլինի։ Առավոտ կստուգեմ</t>
  </si>
  <si>
    <t>Մագա</t>
  </si>
  <si>
    <t>Մագայի գործառույթների մանրամասն նկարագիրը</t>
  </si>
  <si>
    <t>Ավելի մանր՝ ոնց ուզես, էլ էսօր կտա</t>
  </si>
  <si>
    <t>Պարզել՝ ինչու տեսուչները ծրագրով չեն օգտվում</t>
  </si>
  <si>
    <t>Տեսուչներից մեկը անում է, մյուսը սխալներովա անում։ Ըստ Մագայի՝ հարցը էնա որ ծախսում են, հետո դնում տեղը։ Ասել եմ որ վաղվանից մենակ ծրագրով, բայց Մագան ասեց որ իրար հետ էլ եք խոսել ու 1-ից 1-ը դնելու հարց կա բիլինգը։ Սա քո դաշտումա, դու ասա</t>
  </si>
  <si>
    <t>Retention flow-ը՝ Ռիչի վրա, և արտացոլել փաստաթղթում</t>
  </si>
  <si>
    <t>Դեռ ինֆո չունեմ սրա մասով, աղջիկներին գրել եմ որ ինֆո տան</t>
  </si>
  <si>
    <t>Retention-ի հետևման համակարգ</t>
  </si>
  <si>
    <t>Դեռ բան չեմ արել։ Կմտածենք մի հատ պարզ ձև, որ հեշտ լինի համ անելը, համ հետևելը</t>
  </si>
  <si>
    <t>Չըռնի ռիսկի սիգնալները վերանայել</t>
  </si>
  <si>
    <t>Վաղը թիմը կտա, կուղարկեմ</t>
  </si>
  <si>
    <t>Թիմ → Գև</t>
  </si>
  <si>
    <t>save-list-ը մշակել Անահիտի և Մագայի հետ</t>
  </si>
  <si>
    <t>Երկուշաբթի ստարտը կտանք</t>
  </si>
  <si>
    <t>Գև + Անահիտ + Մագա</t>
  </si>
  <si>
    <t>Կետ 6-ը «Արված» է, բայց մեկնաբանությունը չորս նոր պայման կա, դրանք նայի Գև ջան ։</t>
  </si>
  <si>
    <t>Գադուկյան</t>
  </si>
  <si>
    <t>Անահիտ + Մագա → Գև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</si>
</sst>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numFmts>
  <fonts count="16" x14ac:knownFonts="1">
    <font>
      <sz val="11"/>
      <color theme="1"/>
      <name val="Calibri"/>
      <family val="2"/>
      <scheme val="minor"/>
    </font>
    <font>
      <b/>
      <sz val="19"/>
      <color rgb="FF1F3864"/>
      <name val="Calibri"/>
    </font>
    <font>
      <b/>
      <sz val="28"/>
      <color rgb="FF1F3864"/>
      <name val="Calibri"/>
      <scheme val="minor"/>
    </font>
    <font>
      <b/>
      <sz val="9"/>
      <color rgb="FF5B6472"/>
      <name val="Calibri"/>
      <scheme val="minor"/>
    </font>
    <font>
      <b/>
      <sz val="28"/>
      <color rgb="FF2F6B36"/>
      <name val="Calibri"/>
      <scheme val="minor"/>
    </font>
    <font>
      <b/>
      <sz val="28"/>
      <color rgb="FF9A6A00"/>
      <name val="Calibri"/>
      <scheme val="minor"/>
    </font>
    <font>
      <b/>
      <sz val="28"/>
      <color rgb="FFB42318"/>
      <name val="Calibri"/>
      <scheme val="minor"/>
    </font>
    <font>
      <b/>
      <sz val="28"/>
      <color rgb="FF0E7490"/>
      <name val="Calibri"/>
      <scheme val="minor"/>
    </font>
    <font>
      <b/>
      <sz val="28"/>
      <color rgb="FF18539E"/>
      <name val="Calibri"/>
      <scheme val="minor"/>
    </font>
    <font>
      <b/>
      <sz val="9.5"/>
      <color rgb="FFFFFFFF"/>
      <name val="Calibri"/>
      <scheme val="minor"/>
    </font>
    <font>
      <b/>
      <sz val="10"/>
      <color rgb="FF8A94A6"/>
      <name val="Calibri"/>
      <scheme val="minor"/>
    </font>
    <font>
      <b/>
      <sz val="10"/>
      <color rgb="FF24292F"/>
      <name val="Calibri"/>
      <scheme val="minor"/>
    </font>
    <font>
      <sz val="9.5"/>
      <color rgb="FF5B6472"/>
      <name val="Calibri"/>
      <scheme val="minor"/>
    </font>
    <font>
      <b/>
      <sz val="9.5"/>
      <color rgb="FF24292F"/>
      <name val="Calibri"/>
      <scheme val="minor"/>
    </font>
    <font>
      <sz val="9.5"/>
      <color rgb="FF24292F"/>
      <name val="Calibri"/>
      <scheme val="minor"/>
    </font>
    <font>
      <i/>
      <sz val="10"/>
      <color rgb="FF7A5200"/>
      <name val="Calibri"/>
      <scheme val="minor"/>
    </font>
  </fonts>
  <fills count="17">
    <fill>
      <patternFill patternType="none"/>
    </fill>
    <fill>
      <patternFill patternType="gray125"/>
    </fill>
    <fill>
      <patternFill patternType="solid">
        <fgColor rgb="FFF5F7F9"/>
      </patternFill>
    </fill>
    <fill>
      <patternFill patternType="solid">
        <fgColor rgb="FF1F3864"/>
      </patternFill>
    </fill>
    <fill>
      <patternFill patternType="solid">
        <fgColor rgb="FFFFFFFF"/>
        <bgColor indexed="64"/>
      </patternFill>
    </fill>
    <fill>
      <patternFill patternType="solid">
        <fgColor rgb="FF1F3864"/>
        <bgColor indexed="64"/>
      </patternFill>
    </fill>
    <fill>
      <patternFill patternType="solid">
        <fgColor rgb="FFF0F3F8"/>
        <bgColor indexed="64"/>
      </patternFill>
    </fill>
    <fill>
      <patternFill patternType="solid">
        <fgColor rgb="FF2F6B36"/>
        <bgColor indexed="64"/>
      </patternFill>
    </fill>
    <fill>
      <patternFill patternType="solid">
        <fgColor rgb="FFEDF6EE"/>
        <bgColor indexed="64"/>
      </patternFill>
    </fill>
    <fill>
      <patternFill patternType="solid">
        <fgColor rgb="FF9A6A00"/>
        <bgColor indexed="64"/>
      </patternFill>
    </fill>
    <fill>
      <patternFill patternType="solid">
        <fgColor rgb="FFFDF5E4"/>
        <bgColor indexed="64"/>
      </patternFill>
    </fill>
    <fill>
      <patternFill patternType="solid">
        <fgColor rgb="FFB42318"/>
        <bgColor indexed="64"/>
      </patternFill>
    </fill>
    <fill>
      <patternFill patternType="solid">
        <fgColor rgb="FFFDECEA"/>
        <bgColor indexed="64"/>
      </patternFill>
    </fill>
    <fill>
      <patternFill patternType="solid">
        <fgColor rgb="FF0E7490"/>
        <bgColor indexed="64"/>
      </patternFill>
    </fill>
    <fill>
      <patternFill patternType="solid">
        <fgColor rgb="FFE8F4F7"/>
        <bgColor indexed="64"/>
      </patternFill>
    </fill>
    <fill>
      <patternFill patternType="solid">
        <fgColor rgb="FF18539E"/>
        <bgColor indexed="64"/>
      </patternFill>
    </fill>
    <fill>
      <patternFill patternType="solid">
        <fgColor rgb="FFEBF2FA"/>
        <bgColor indexed="64"/>
      </patternFill>
    </fill>
  </fills>
  <borders count="11">
    <border>
      <left/>
      <right/>
      <top/>
      <bottom/>
      <diagonal/>
    </border>
    <border>
      <left/>
      <right/>
      <top/>
      <bottom/>
      <diagonal/>
    </border>
    <border>
      <left/>
      <right style="thick">
        <color rgb="FFFFFFFF"/>
      </right>
      <top/>
      <bottom/>
      <diagonal/>
    </border>
    <border>
      <left style="thick">
        <color rgb="FFFFFFFF"/>
      </left>
      <right/>
      <top/>
      <bottom/>
      <diagonal/>
    </border>
    <border>
      <left/>
      <right/>
      <top/>
      <bottom style="thin">
        <color rgb="FFE6E9EE"/>
      </bottom>
      <diagonal/>
    </border>
    <border>
      <left/>
      <right/>
      <top style="thin">
        <color rgb="FFE6E9EE"/>
      </top>
      <bottom style="thin">
        <color rgb="FFE6E9EE"/>
      </bottom>
      <diagonal/>
    </border>
    <border>
      <left/>
      <right/>
      <top style="thin">
        <color rgb="FFE6E9EE"/>
      </top>
      <bottom style="thin">
        <color rgb="FFD0D5DD"/>
      </bottom>
      <diagonal/>
    </border>
    <border>
      <left style="thick">
        <color rgb="FF9A6A00"/>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83">
    <xf numFmtId="0" fontId="0" fillId="0" borderId="0" xfId="0"/>
    <xf numFmtId="0" fontId="0" fillId="2" borderId="0" xfId="0" applyFill="1"/>
    <xf numFmtId="0" fontId="0" fillId="3" borderId="0" xfId="0" applyFill="1"/>
    <xf numFmtId="0" fontId="0" fillId="0" borderId="0" xfId="0"/>
    <xf numFmtId="0" fontId="1" fillId="2" borderId="0" xfId="0" applyFont="1" applyFill="1" applyAlignment="1">
      <alignment horizontal="left" vertical="center"/>
    </xf>
    <xf numFmtId="0" fontId="0" fillId="4" borderId="0" xfId="0" applyFill="1"/>
    <xf numFmtId="0" fontId="0" fillId="5" borderId="1" xfId="0" applyFill="1" applyBorder="1"/>
    <xf numFmtId="0" fontId="2" fillId="6" borderId="0" xfId="0" applyFont="1" applyFill="1" applyAlignment="1">
      <alignment horizontal="center"/>
    </xf>
    <xf numFmtId="0" fontId="3" fillId="6" borderId="0" xfId="0" applyFont="1" applyFill="1" applyAlignment="1">
      <alignment horizontal="center" vertical="top"/>
    </xf>
    <xf numFmtId="0" fontId="0" fillId="5" borderId="2" xfId="0" applyFill="1" applyBorder="1"/>
    <xf numFmtId="0" fontId="2" fillId="6" borderId="2" xfId="0" applyFont="1" applyFill="1" applyBorder="1" applyAlignment="1">
      <alignment horizontal="center"/>
    </xf>
    <xf numFmtId="0" fontId="3" fillId="6" borderId="2" xfId="0" applyFont="1" applyFill="1" applyBorder="1" applyAlignment="1">
      <alignment horizontal="center" vertical="top"/>
    </xf>
    <xf numFmtId="0" fontId="0" fillId="7" borderId="3" xfId="0" applyFill="1" applyBorder="1"/>
    <xf numFmtId="0" fontId="0" fillId="7" borderId="1" xfId="0" applyFill="1" applyBorder="1"/>
    <xf numFmtId="0" fontId="4" fillId="8" borderId="3" xfId="0" applyFont="1" applyFill="1" applyBorder="1" applyAlignment="1">
      <alignment horizontal="center"/>
    </xf>
    <xf numFmtId="0" fontId="4" fillId="8" borderId="1" xfId="0" applyFont="1" applyFill="1" applyBorder="1" applyAlignment="1">
      <alignment horizontal="center"/>
    </xf>
    <xf numFmtId="0" fontId="3" fillId="8" borderId="3" xfId="0" applyFont="1" applyFill="1" applyBorder="1" applyAlignment="1">
      <alignment horizontal="center" vertical="top"/>
    </xf>
    <xf numFmtId="0" fontId="3" fillId="8" borderId="1" xfId="0" applyFont="1" applyFill="1" applyBorder="1" applyAlignment="1">
      <alignment horizontal="center" vertical="top"/>
    </xf>
    <xf numFmtId="0" fontId="0" fillId="7" borderId="2" xfId="0" applyFill="1" applyBorder="1"/>
    <xf numFmtId="0" fontId="4" fillId="8" borderId="2" xfId="0" applyFont="1" applyFill="1" applyBorder="1" applyAlignment="1">
      <alignment horizontal="center"/>
    </xf>
    <xf numFmtId="0" fontId="3" fillId="8" borderId="2" xfId="0" applyFont="1" applyFill="1" applyBorder="1" applyAlignment="1">
      <alignment horizontal="center" vertical="top"/>
    </xf>
    <xf numFmtId="0" fontId="0" fillId="9" borderId="3" xfId="0" applyFill="1" applyBorder="1"/>
    <xf numFmtId="0" fontId="0" fillId="9" borderId="1" xfId="0" applyFill="1" applyBorder="1"/>
    <xf numFmtId="0" fontId="5" fillId="10" borderId="3" xfId="0" applyFont="1" applyFill="1" applyBorder="1" applyAlignment="1">
      <alignment horizontal="center"/>
    </xf>
    <xf numFmtId="0" fontId="5" fillId="10" borderId="1" xfId="0" applyFont="1" applyFill="1" applyBorder="1" applyAlignment="1">
      <alignment horizontal="center"/>
    </xf>
    <xf numFmtId="0" fontId="3" fillId="10" borderId="3" xfId="0" applyFont="1" applyFill="1" applyBorder="1" applyAlignment="1">
      <alignment horizontal="center" vertical="top"/>
    </xf>
    <xf numFmtId="0" fontId="3" fillId="10" borderId="1" xfId="0" applyFont="1" applyFill="1" applyBorder="1" applyAlignment="1">
      <alignment horizontal="center" vertical="top"/>
    </xf>
    <xf numFmtId="0" fontId="0" fillId="9" borderId="2" xfId="0" applyFill="1" applyBorder="1"/>
    <xf numFmtId="0" fontId="5" fillId="10" borderId="2" xfId="0" applyFont="1" applyFill="1" applyBorder="1" applyAlignment="1">
      <alignment horizontal="center"/>
    </xf>
    <xf numFmtId="0" fontId="3" fillId="10" borderId="2" xfId="0" applyFont="1" applyFill="1" applyBorder="1" applyAlignment="1">
      <alignment horizontal="center" vertical="top"/>
    </xf>
    <xf numFmtId="0" fontId="0" fillId="11" borderId="3" xfId="0" applyFill="1" applyBorder="1"/>
    <xf numFmtId="0" fontId="0" fillId="11" borderId="1" xfId="0" applyFill="1" applyBorder="1"/>
    <xf numFmtId="0" fontId="6" fillId="12" borderId="3" xfId="0" applyFont="1" applyFill="1" applyBorder="1" applyAlignment="1">
      <alignment horizontal="center"/>
    </xf>
    <xf numFmtId="0" fontId="6" fillId="12" borderId="1" xfId="0" applyFont="1" applyFill="1" applyBorder="1" applyAlignment="1">
      <alignment horizontal="center"/>
    </xf>
    <xf numFmtId="0" fontId="3" fillId="12" borderId="3" xfId="0" applyFont="1" applyFill="1" applyBorder="1" applyAlignment="1">
      <alignment horizontal="center" vertical="top"/>
    </xf>
    <xf numFmtId="0" fontId="3" fillId="12" borderId="1" xfId="0" applyFont="1" applyFill="1" applyBorder="1" applyAlignment="1">
      <alignment horizontal="center" vertical="top"/>
    </xf>
    <xf numFmtId="0" fontId="0" fillId="11" borderId="2" xfId="0" applyFill="1" applyBorder="1"/>
    <xf numFmtId="0" fontId="6" fillId="12" borderId="2" xfId="0" applyFont="1" applyFill="1" applyBorder="1" applyAlignment="1">
      <alignment horizontal="center"/>
    </xf>
    <xf numFmtId="0" fontId="3" fillId="12" borderId="2" xfId="0" applyFont="1" applyFill="1" applyBorder="1" applyAlignment="1">
      <alignment horizontal="center" vertical="top"/>
    </xf>
    <xf numFmtId="0" fontId="6" fillId="12" borderId="0" xfId="0" applyFont="1" applyFill="1" applyAlignment="1">
      <alignment horizontal="center"/>
    </xf>
    <xf numFmtId="0" fontId="3" fillId="12" borderId="0" xfId="0" applyFont="1" applyFill="1" applyAlignment="1">
      <alignment horizontal="center" vertical="top"/>
    </xf>
    <xf numFmtId="0" fontId="0" fillId="13" borderId="3" xfId="0" applyFill="1" applyBorder="1"/>
    <xf numFmtId="0" fontId="0" fillId="13" borderId="1" xfId="0" applyFill="1" applyBorder="1"/>
    <xf numFmtId="0" fontId="7" fillId="14" borderId="3" xfId="0" applyFont="1" applyFill="1" applyBorder="1" applyAlignment="1">
      <alignment horizontal="center"/>
    </xf>
    <xf numFmtId="0" fontId="7" fillId="14" borderId="1" xfId="0" applyFont="1" applyFill="1" applyBorder="1" applyAlignment="1">
      <alignment horizontal="center"/>
    </xf>
    <xf numFmtId="0" fontId="3" fillId="14" borderId="3" xfId="0" applyFont="1" applyFill="1" applyBorder="1" applyAlignment="1">
      <alignment horizontal="center" vertical="top"/>
    </xf>
    <xf numFmtId="0" fontId="3" fillId="14" borderId="1" xfId="0" applyFont="1" applyFill="1" applyBorder="1" applyAlignment="1">
      <alignment horizontal="center" vertical="top"/>
    </xf>
    <xf numFmtId="0" fontId="0" fillId="13" borderId="2" xfId="0" applyFill="1" applyBorder="1"/>
    <xf numFmtId="0" fontId="7" fillId="14" borderId="2" xfId="0" applyFont="1" applyFill="1" applyBorder="1" applyAlignment="1">
      <alignment horizontal="center"/>
    </xf>
    <xf numFmtId="0" fontId="3" fillId="14" borderId="2" xfId="0" applyFont="1" applyFill="1" applyBorder="1" applyAlignment="1">
      <alignment horizontal="center" vertical="top"/>
    </xf>
    <xf numFmtId="0" fontId="0" fillId="15" borderId="3" xfId="0" applyFill="1" applyBorder="1"/>
    <xf numFmtId="0" fontId="0" fillId="15" borderId="1" xfId="0" applyFill="1" applyBorder="1"/>
    <xf numFmtId="0" fontId="8" fillId="16" borderId="3" xfId="0" applyFont="1" applyFill="1" applyBorder="1" applyAlignment="1">
      <alignment horizontal="center"/>
    </xf>
    <xf numFmtId="0" fontId="8" fillId="16" borderId="1" xfId="0" applyFont="1" applyFill="1" applyBorder="1" applyAlignment="1">
      <alignment horizontal="center"/>
    </xf>
    <xf numFmtId="0" fontId="3" fillId="16" borderId="3" xfId="0" applyFont="1" applyFill="1" applyBorder="1" applyAlignment="1">
      <alignment horizontal="center" vertical="top"/>
    </xf>
    <xf numFmtId="0" fontId="3" fillId="16" borderId="1" xfId="0" applyFont="1" applyFill="1" applyBorder="1" applyAlignment="1">
      <alignment horizontal="center" vertical="top"/>
    </xf>
    <xf numFmtId="0" fontId="0" fillId="15" borderId="2" xfId="0" applyFill="1" applyBorder="1"/>
    <xf numFmtId="0" fontId="8" fillId="16" borderId="2" xfId="0" applyFont="1" applyFill="1" applyBorder="1" applyAlignment="1">
      <alignment horizontal="center"/>
    </xf>
    <xf numFmtId="0" fontId="3" fillId="16" borderId="2" xfId="0" applyFont="1" applyFill="1" applyBorder="1" applyAlignment="1">
      <alignment horizontal="center" vertical="top"/>
    </xf>
    <xf numFmtId="0" fontId="10" fillId="4" borderId="4"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3" fillId="4" borderId="4"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4" borderId="6" xfId="0" applyFont="1" applyFill="1" applyBorder="1" applyAlignment="1">
      <alignment horizontal="center" vertical="center" wrapText="1"/>
    </xf>
    <xf numFmtId="165" fontId="14" fillId="4" borderId="4"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5" fontId="14" fillId="4" borderId="6" xfId="0" applyNumberFormat="1" applyFont="1" applyFill="1" applyBorder="1" applyAlignment="1">
      <alignment horizontal="center" vertical="center" wrapText="1"/>
    </xf>
    <xf numFmtId="0" fontId="11" fillId="4" borderId="4" xfId="0" applyFont="1" applyFill="1" applyBorder="1" applyAlignment="1">
      <alignment horizontal="left" vertical="center" wrapText="1"/>
    </xf>
    <xf numFmtId="0" fontId="0" fillId="0" borderId="4" xfId="0" applyBorder="1"/>
    <xf numFmtId="0" fontId="14" fillId="4" borderId="4"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4" fillId="4" borderId="5" xfId="0" applyFont="1" applyFill="1" applyBorder="1" applyAlignment="1">
      <alignment horizontal="left" vertical="center" wrapText="1"/>
    </xf>
    <xf numFmtId="0" fontId="11" fillId="4" borderId="6" xfId="0" applyFont="1" applyFill="1" applyBorder="1" applyAlignment="1">
      <alignment horizontal="left" vertical="center" wrapText="1"/>
    </xf>
    <xf numFmtId="0" fontId="12" fillId="4" borderId="6" xfId="0" applyFont="1" applyFill="1" applyBorder="1" applyAlignment="1">
      <alignment horizontal="left" vertical="center" wrapText="1"/>
    </xf>
    <xf numFmtId="0" fontId="14" fillId="4" borderId="6" xfId="0" applyFont="1" applyFill="1" applyBorder="1" applyAlignment="1">
      <alignment horizontal="left" vertical="center" wrapText="1"/>
    </xf>
    <xf numFmtId="0" fontId="15" fillId="10" borderId="7" xfId="0" applyFont="1" applyFill="1" applyBorder="1" applyAlignment="1">
      <alignment horizontal="left" vertical="center" wrapText="1"/>
    </xf>
    <xf numFmtId="0" fontId="15" fillId="10" borderId="1" xfId="0" applyFont="1" applyFill="1" applyBorder="1" applyAlignment="1">
      <alignment horizontal="left" vertical="center" wrapText="1"/>
    </xf>
    <xf numFmtId="0" fontId="9" fillId="5" borderId="8" xfId="0" applyFont="1" applyFill="1" applyBorder="1" applyAlignment="1">
      <alignment horizontal="center" vertical="center"/>
    </xf>
    <xf numFmtId="0" fontId="9" fillId="5" borderId="9" xfId="0" applyFont="1" applyFill="1" applyBorder="1" applyAlignment="1">
      <alignment horizontal="left" vertical="center"/>
    </xf>
    <xf numFmtId="0" fontId="9" fillId="5" borderId="9" xfId="0" applyFont="1" applyFill="1" applyBorder="1" applyAlignment="1">
      <alignment horizontal="center" vertical="center"/>
    </xf>
    <xf numFmtId="0" fontId="9" fillId="5" borderId="10" xfId="0" applyFont="1" applyFill="1" applyBorder="1" applyAlignment="1">
      <alignment horizontal="left" vertical="center"/>
    </xf>
  </cellXfs>
  <cellStyles count="1">
    <cellStyle name="Normal" xfId="0" builtinId="0"/>
  </cellStyles>
  <dxfs count="7">
    <dxf>
      <font>
        <b/>
        <i val="0"/>
        <color rgb="FF9A6A00"/>
      </font>
    </dxf>
    <dxf>
      <font>
        <b/>
        <i val="0"/>
        <color rgb="FFB42318"/>
      </font>
    </dxf>
    <dxf>
      <font>
        <b/>
        <i val="0"/>
        <color rgb="FFB42318"/>
      </font>
      <fill>
        <patternFill patternType="solid">
          <fgColor indexed="64"/>
          <bgColor rgb="FFFDECEA"/>
        </patternFill>
      </fill>
    </dxf>
    <dxf>
      <font>
        <b/>
        <i val="0"/>
        <color rgb="FF9A6A00"/>
      </font>
      <fill>
        <patternFill patternType="solid">
          <fgColor indexed="64"/>
          <bgColor rgb="FFFDF5E4"/>
        </patternFill>
      </fill>
    </dxf>
    <dxf>
      <font>
        <b/>
        <i val="0"/>
        <color rgb="FF2F6B36"/>
      </font>
      <fill>
        <patternFill patternType="solid">
          <fgColor indexed="64"/>
          <bgColor rgb="FFEDF6EE"/>
        </patternFill>
      </fill>
    </dxf>
    <dxf>
      <font>
        <b/>
        <color rgb="FF9A6A00"/>
      </font>
      <fill>
        <patternFill patternType="solid">
          <fgColor rgb="FFFDF5E4"/>
        </patternFill>
      </fill>
    </dxf>
    <dxf>
      <font>
        <b/>
        <color rgb="FFB42318"/>
      </font>
      <fill>
        <patternFill patternType="solid">
          <fgColor rgb="FFFDECE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AC67944-AA26-4690-BE30-81169CB7C478}">
  <we:reference id="wa200009404" version="1.0.0.8" store="en-US" storeType="OMEX"/>
  <we:alternateReferences>
    <we:reference id="wa200009404" version="1.0.0.8" store="en-US" storeType="OMEX"/>
  </we:alternateReferences>
  <we:properties>
    <we:property name="claude.fileId" value="&quot;58020c63-a363-460a-94b5-8b2fb1573af1&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O55"/>
  <sheetViews>
    <sheetView showGridLines="0" tabSelected="1" workbookViewId="0">
      <selection activeCell="S9" sqref="S9"/>
    </sheetView>
  </sheetViews>
  <sheetFormatPr defaultRowHeight="15" x14ac:dyDescent="0.25"/>
  <cols>
    <col min="1" max="1" width="2" customWidth="1"/>
    <col min="2" max="2" width="6" customWidth="1"/>
    <col min="3" max="14" width="17" customWidth="1"/>
    <col min="15" max="15" width="2" customWidth="1"/>
  </cols>
  <sheetData>
    <row r="1" spans="1:15" ht="38.1" customHeight="1" x14ac:dyDescent="0.25">
      <c r="A1" s="1"/>
      <c r="B1" s="4" t="s">
        <v>0</v>
      </c>
      <c r="C1" s="3"/>
      <c r="D1" s="3"/>
      <c r="E1" s="3"/>
      <c r="F1" s="3"/>
      <c r="G1" s="3"/>
      <c r="H1" s="3"/>
      <c r="I1" s="3"/>
      <c r="J1" s="3"/>
      <c r="K1" s="3"/>
      <c r="L1" s="3"/>
      <c r="M1" s="3"/>
      <c r="N1" s="3"/>
      <c r="O1" s="1"/>
    </row>
    <row r="2" spans="1:15" ht="3" customHeight="1" x14ac:dyDescent="0.25">
      <c r="A2" s="1"/>
      <c r="B2" s="2"/>
      <c r="C2" s="2"/>
      <c r="D2" s="2"/>
      <c r="E2" s="2"/>
      <c r="F2" s="2"/>
      <c r="G2" s="2"/>
      <c r="H2" s="2"/>
      <c r="I2" s="2"/>
      <c r="J2" s="2"/>
      <c r="K2" s="2"/>
      <c r="L2" s="2"/>
      <c r="M2" s="2"/>
      <c r="N2" s="2"/>
      <c r="O2" s="1"/>
    </row>
    <row r="3" spans="1:15" ht="9.9499999999999993" customHeight="1" x14ac:dyDescent="0.25">
      <c r="A3" s="1"/>
      <c r="B3" s="5"/>
      <c r="C3" s="5"/>
      <c r="D3" s="5"/>
      <c r="E3" s="5"/>
      <c r="F3" s="5"/>
      <c r="G3" s="5"/>
      <c r="H3" s="5"/>
      <c r="I3" s="5"/>
      <c r="J3" s="5"/>
      <c r="K3" s="5"/>
      <c r="L3" s="5"/>
      <c r="M3" s="5"/>
      <c r="N3" s="5"/>
      <c r="O3" s="1"/>
    </row>
    <row r="4" spans="1:15" ht="5.0999999999999996" customHeight="1" x14ac:dyDescent="0.25">
      <c r="A4" s="1"/>
      <c r="B4" s="5"/>
      <c r="C4" s="6"/>
      <c r="D4" s="6"/>
      <c r="E4" s="9"/>
      <c r="F4" s="12"/>
      <c r="G4" s="13"/>
      <c r="H4" s="18"/>
      <c r="I4" s="21"/>
      <c r="J4" s="22"/>
      <c r="K4" s="27"/>
      <c r="L4" s="30"/>
      <c r="M4" s="31"/>
      <c r="N4" s="36"/>
      <c r="O4" s="1"/>
    </row>
    <row r="5" spans="1:15" ht="45.95" customHeight="1" x14ac:dyDescent="0.55000000000000004">
      <c r="A5" s="1"/>
      <c r="B5" s="5"/>
      <c r="C5" s="7">
        <f>COUNTA($F$13:$F$27)</f>
        <v>15</v>
      </c>
      <c r="D5" s="7"/>
      <c r="E5" s="10"/>
      <c r="F5" s="14">
        <f>COUNTIF($F$13:$F$27,"Արված")</f>
        <v>3</v>
      </c>
      <c r="G5" s="15"/>
      <c r="H5" s="19"/>
      <c r="I5" s="23">
        <f>COUNTIF($F$13:$F$27,"Ընթացքում")</f>
        <v>12</v>
      </c>
      <c r="J5" s="24"/>
      <c r="K5" s="28"/>
      <c r="L5" s="32">
        <f>COUNTIF($F$13:$F$27,"Չսկսված")</f>
        <v>0</v>
      </c>
      <c r="M5" s="33"/>
      <c r="N5" s="37"/>
      <c r="O5" s="1"/>
    </row>
    <row r="6" spans="1:15" ht="20.100000000000001" customHeight="1" x14ac:dyDescent="0.25">
      <c r="A6" s="1"/>
      <c r="B6" s="5"/>
      <c r="C6" s="8" t="s">
        <v>1</v>
      </c>
      <c r="D6" s="8"/>
      <c r="E6" s="11"/>
      <c r="F6" s="16" t="s">
        <v>2</v>
      </c>
      <c r="G6" s="17"/>
      <c r="H6" s="20"/>
      <c r="I6" s="25" t="s">
        <v>3</v>
      </c>
      <c r="J6" s="26"/>
      <c r="K6" s="29"/>
      <c r="L6" s="34" t="s">
        <v>4</v>
      </c>
      <c r="M6" s="35"/>
      <c r="N6" s="38"/>
      <c r="O6" s="1"/>
    </row>
    <row r="7" spans="1:15" ht="12" customHeight="1" x14ac:dyDescent="0.25">
      <c r="A7" s="1"/>
      <c r="B7" s="5"/>
      <c r="C7" s="5"/>
      <c r="D7" s="5"/>
      <c r="E7" s="5"/>
      <c r="F7" s="5"/>
      <c r="G7" s="5"/>
      <c r="H7" s="5"/>
      <c r="I7" s="5"/>
      <c r="J7" s="5"/>
      <c r="K7" s="5"/>
      <c r="L7" s="5"/>
      <c r="M7" s="5"/>
      <c r="N7" s="5"/>
      <c r="O7" s="1"/>
    </row>
    <row r="8" spans="1:15" ht="5.0999999999999996" customHeight="1" x14ac:dyDescent="0.25">
      <c r="A8" s="1"/>
      <c r="B8" s="5"/>
      <c r="C8" s="31"/>
      <c r="D8" s="31"/>
      <c r="E8" s="36"/>
      <c r="F8" s="21"/>
      <c r="G8" s="22"/>
      <c r="H8" s="27"/>
      <c r="I8" s="41"/>
      <c r="J8" s="42"/>
      <c r="K8" s="47"/>
      <c r="L8" s="50"/>
      <c r="M8" s="51"/>
      <c r="N8" s="56"/>
      <c r="O8" s="1"/>
    </row>
    <row r="9" spans="1:15" ht="45.95" customHeight="1" x14ac:dyDescent="0.55000000000000004">
      <c r="A9" s="1"/>
      <c r="B9" s="5"/>
      <c r="C9" s="39">
        <f ca="1">SUMPRODUCT(($K$13:$K$27&lt;&gt;"")*($K$13:$K$27&lt;TODAY())*($F$13:$F$27&lt;&gt;"Արված"))</f>
        <v>0</v>
      </c>
      <c r="D9" s="39"/>
      <c r="E9" s="37"/>
      <c r="F9" s="23">
        <f ca="1">SUMPRODUCT(($K$13:$K$27=TODAY())*($F$13:$F$27&lt;&gt;"Արված"))</f>
        <v>2</v>
      </c>
      <c r="G9" s="24"/>
      <c r="H9" s="28"/>
      <c r="I9" s="43">
        <f ca="1">SUMPRODUCT(($K$13:$K$27=TODAY()+1)*($F$13:$F$27&lt;&gt;"Արված"))</f>
        <v>6</v>
      </c>
      <c r="J9" s="44"/>
      <c r="K9" s="48"/>
      <c r="L9" s="52">
        <f ca="1">SUMPRODUCT(($K$13:$K$27&gt;TODAY()+1)*($F$13:$F$27&lt;&gt;"Արված"))</f>
        <v>4</v>
      </c>
      <c r="M9" s="53"/>
      <c r="N9" s="57"/>
      <c r="O9" s="1"/>
    </row>
    <row r="10" spans="1:15" ht="20.100000000000001" customHeight="1" x14ac:dyDescent="0.25">
      <c r="A10" s="1"/>
      <c r="B10" s="5"/>
      <c r="C10" s="40" t="s">
        <v>5</v>
      </c>
      <c r="D10" s="40"/>
      <c r="E10" s="38"/>
      <c r="F10" s="25" t="s">
        <v>6</v>
      </c>
      <c r="G10" s="26"/>
      <c r="H10" s="29"/>
      <c r="I10" s="45" t="s">
        <v>7</v>
      </c>
      <c r="J10" s="46"/>
      <c r="K10" s="49"/>
      <c r="L10" s="54" t="s">
        <v>8</v>
      </c>
      <c r="M10" s="55"/>
      <c r="N10" s="58"/>
      <c r="O10" s="1"/>
    </row>
    <row r="11" spans="1:15" ht="15.95" customHeight="1" thickBot="1" x14ac:dyDescent="0.3">
      <c r="A11" s="1"/>
      <c r="B11" s="5"/>
      <c r="C11" s="5"/>
      <c r="D11" s="5"/>
      <c r="E11" s="5"/>
      <c r="F11" s="5"/>
      <c r="G11" s="5"/>
      <c r="H11" s="5"/>
      <c r="I11" s="5"/>
      <c r="J11" s="5"/>
      <c r="K11" s="5"/>
      <c r="L11" s="5"/>
      <c r="M11" s="5"/>
      <c r="N11" s="5"/>
      <c r="O11" s="1"/>
    </row>
    <row r="12" spans="1:15" ht="27.95" customHeight="1" thickBot="1" x14ac:dyDescent="0.3">
      <c r="B12" s="79" t="s">
        <v>9</v>
      </c>
      <c r="C12" s="80" t="s">
        <v>10</v>
      </c>
      <c r="D12" s="80"/>
      <c r="E12" s="80"/>
      <c r="F12" s="81" t="s">
        <v>11</v>
      </c>
      <c r="G12" s="80" t="s">
        <v>12</v>
      </c>
      <c r="H12" s="80"/>
      <c r="I12" s="80"/>
      <c r="J12" s="80"/>
      <c r="K12" s="81" t="s">
        <v>13</v>
      </c>
      <c r="L12" s="80" t="s">
        <v>14</v>
      </c>
      <c r="M12" s="80"/>
      <c r="N12" s="82"/>
      <c r="O12" s="1"/>
    </row>
    <row r="13" spans="1:15" ht="26.1" customHeight="1" x14ac:dyDescent="0.25">
      <c r="B13" s="59">
        <v>1</v>
      </c>
      <c r="C13" s="68" t="s">
        <v>15</v>
      </c>
      <c r="D13" s="68"/>
      <c r="E13" s="68"/>
      <c r="F13" s="62" t="s">
        <v>16</v>
      </c>
      <c r="G13" s="69"/>
      <c r="H13" s="69"/>
      <c r="I13" s="69"/>
      <c r="J13" s="69"/>
      <c r="K13" s="65">
        <v>46272</v>
      </c>
      <c r="L13" s="70" t="s">
        <v>17</v>
      </c>
      <c r="M13" s="70"/>
      <c r="N13" s="70"/>
      <c r="O13" s="1"/>
    </row>
    <row r="14" spans="1:15" ht="38.1" customHeight="1" x14ac:dyDescent="0.25">
      <c r="B14" s="60">
        <v>2</v>
      </c>
      <c r="C14" s="71" t="s">
        <v>18</v>
      </c>
      <c r="D14" s="71"/>
      <c r="E14" s="71"/>
      <c r="F14" s="63" t="s">
        <v>19</v>
      </c>
      <c r="G14" s="72" t="s">
        <v>20</v>
      </c>
      <c r="H14" s="72"/>
      <c r="I14" s="72"/>
      <c r="J14" s="72"/>
      <c r="K14" s="66">
        <v>46275</v>
      </c>
      <c r="L14" s="73" t="s">
        <v>21</v>
      </c>
      <c r="M14" s="73"/>
      <c r="N14" s="73"/>
      <c r="O14" s="1"/>
    </row>
    <row r="15" spans="1:15" ht="38.1" customHeight="1" x14ac:dyDescent="0.25">
      <c r="B15" s="60">
        <v>3</v>
      </c>
      <c r="C15" s="71" t="s">
        <v>22</v>
      </c>
      <c r="D15" s="71"/>
      <c r="E15" s="71"/>
      <c r="F15" s="63" t="s">
        <v>19</v>
      </c>
      <c r="G15" s="72" t="s">
        <v>23</v>
      </c>
      <c r="H15" s="72"/>
      <c r="I15" s="72"/>
      <c r="J15" s="72"/>
      <c r="K15" s="66">
        <v>46275</v>
      </c>
      <c r="L15" s="73" t="s">
        <v>24</v>
      </c>
      <c r="M15" s="73"/>
      <c r="N15" s="73"/>
      <c r="O15" s="1"/>
    </row>
    <row r="16" spans="1:15" ht="26.1" customHeight="1" x14ac:dyDescent="0.25">
      <c r="B16" s="60">
        <v>4</v>
      </c>
      <c r="C16" s="71" t="s">
        <v>25</v>
      </c>
      <c r="D16" s="71"/>
      <c r="E16" s="71"/>
      <c r="F16" s="63" t="s">
        <v>19</v>
      </c>
      <c r="G16" s="72" t="s">
        <v>26</v>
      </c>
      <c r="H16" s="72"/>
      <c r="I16" s="72"/>
      <c r="J16" s="72"/>
      <c r="K16" s="66">
        <v>46280</v>
      </c>
      <c r="L16" s="73" t="s">
        <v>24</v>
      </c>
      <c r="M16" s="73"/>
      <c r="N16" s="73"/>
      <c r="O16" s="1"/>
    </row>
    <row r="17" spans="1:15" ht="38.1" customHeight="1" x14ac:dyDescent="0.25">
      <c r="B17" s="60">
        <v>5</v>
      </c>
      <c r="C17" s="71" t="s">
        <v>27</v>
      </c>
      <c r="D17" s="71"/>
      <c r="E17" s="71"/>
      <c r="F17" s="63" t="s">
        <v>19</v>
      </c>
      <c r="G17" s="72" t="s">
        <v>28</v>
      </c>
      <c r="H17" s="72"/>
      <c r="I17" s="72"/>
      <c r="J17" s="72"/>
      <c r="K17" s="66">
        <v>46274</v>
      </c>
      <c r="L17" s="73" t="s">
        <v>29</v>
      </c>
      <c r="M17" s="73"/>
      <c r="N17" s="73"/>
      <c r="O17" s="1"/>
    </row>
    <row r="18" spans="1:15" ht="66" customHeight="1" x14ac:dyDescent="0.25">
      <c r="B18" s="60">
        <v>6</v>
      </c>
      <c r="C18" s="71" t="s">
        <v>30</v>
      </c>
      <c r="D18" s="71"/>
      <c r="E18" s="71"/>
      <c r="F18" s="63" t="s">
        <v>16</v>
      </c>
      <c r="G18" s="72" t="s">
        <v>31</v>
      </c>
      <c r="H18" s="72"/>
      <c r="I18" s="72"/>
      <c r="J18" s="72"/>
      <c r="K18" s="66"/>
      <c r="L18" s="73" t="s">
        <v>24</v>
      </c>
      <c r="M18" s="73"/>
      <c r="N18" s="73"/>
      <c r="O18" s="1"/>
    </row>
    <row r="19" spans="1:15" ht="51.95" customHeight="1" x14ac:dyDescent="0.25">
      <c r="B19" s="60">
        <v>7</v>
      </c>
      <c r="C19" s="71" t="s">
        <v>32</v>
      </c>
      <c r="D19" s="71"/>
      <c r="E19" s="71"/>
      <c r="F19" s="63" t="s">
        <v>19</v>
      </c>
      <c r="G19" s="72" t="s">
        <v>33</v>
      </c>
      <c r="H19" s="72"/>
      <c r="I19" s="72"/>
      <c r="J19" s="72"/>
      <c r="K19" s="66">
        <v>46275</v>
      </c>
      <c r="L19" s="73" t="s">
        <v>34</v>
      </c>
      <c r="M19" s="73"/>
      <c r="N19" s="73"/>
      <c r="O19" s="1"/>
    </row>
    <row r="20" spans="1:15" ht="38.1" customHeight="1" x14ac:dyDescent="0.25">
      <c r="B20" s="60">
        <v>8</v>
      </c>
      <c r="C20" s="71" t="s">
        <v>35</v>
      </c>
      <c r="D20" s="71"/>
      <c r="E20" s="71"/>
      <c r="F20" s="63" t="s">
        <v>19</v>
      </c>
      <c r="G20" s="72" t="s">
        <v>36</v>
      </c>
      <c r="H20" s="72"/>
      <c r="I20" s="72"/>
      <c r="J20" s="72"/>
      <c r="K20" s="66">
        <v>46276</v>
      </c>
      <c r="L20" s="73" t="s">
        <v>24</v>
      </c>
      <c r="M20" s="73"/>
      <c r="N20" s="73"/>
      <c r="O20" s="1"/>
    </row>
    <row r="21" spans="1:15" ht="38.1" customHeight="1" x14ac:dyDescent="0.25">
      <c r="B21" s="60">
        <v>9</v>
      </c>
      <c r="C21" s="71" t="s">
        <v>37</v>
      </c>
      <c r="D21" s="71"/>
      <c r="E21" s="71"/>
      <c r="F21" s="63" t="s">
        <v>16</v>
      </c>
      <c r="G21" s="72" t="s">
        <v>38</v>
      </c>
      <c r="H21" s="72"/>
      <c r="I21" s="72"/>
      <c r="J21" s="72"/>
      <c r="K21" s="66">
        <v>46274</v>
      </c>
      <c r="L21" s="73" t="s">
        <v>39</v>
      </c>
      <c r="M21" s="73"/>
      <c r="N21" s="73"/>
      <c r="O21" s="1"/>
    </row>
    <row r="22" spans="1:15" ht="26.1" customHeight="1" x14ac:dyDescent="0.25">
      <c r="B22" s="60">
        <v>10</v>
      </c>
      <c r="C22" s="71" t="s">
        <v>40</v>
      </c>
      <c r="D22" s="71"/>
      <c r="E22" s="71"/>
      <c r="F22" s="63" t="s">
        <v>19</v>
      </c>
      <c r="G22" s="72" t="s">
        <v>41</v>
      </c>
      <c r="H22" s="72"/>
      <c r="I22" s="72"/>
      <c r="J22" s="72"/>
      <c r="K22" s="66">
        <v>46274</v>
      </c>
      <c r="L22" s="73" t="s">
        <v>34</v>
      </c>
      <c r="M22" s="73"/>
      <c r="N22" s="73"/>
      <c r="O22" s="1"/>
    </row>
    <row r="23" spans="1:15" ht="80.099999999999994" customHeight="1" x14ac:dyDescent="0.25">
      <c r="B23" s="60">
        <v>11</v>
      </c>
      <c r="C23" s="71" t="s">
        <v>42</v>
      </c>
      <c r="D23" s="71"/>
      <c r="E23" s="71"/>
      <c r="F23" s="63" t="s">
        <v>19</v>
      </c>
      <c r="G23" s="72" t="s">
        <v>43</v>
      </c>
      <c r="H23" s="72"/>
      <c r="I23" s="72"/>
      <c r="J23" s="72"/>
      <c r="K23" s="66">
        <v>46275</v>
      </c>
      <c r="L23" s="73" t="s">
        <v>55</v>
      </c>
      <c r="M23" s="73"/>
      <c r="N23" s="73"/>
      <c r="O23" s="1"/>
    </row>
    <row r="24" spans="1:15" ht="38.1" customHeight="1" x14ac:dyDescent="0.25">
      <c r="B24" s="60">
        <v>12</v>
      </c>
      <c r="C24" s="71" t="s">
        <v>44</v>
      </c>
      <c r="D24" s="71"/>
      <c r="E24" s="71"/>
      <c r="F24" s="63" t="s">
        <v>19</v>
      </c>
      <c r="G24" s="72" t="s">
        <v>45</v>
      </c>
      <c r="H24" s="72"/>
      <c r="I24" s="72"/>
      <c r="J24" s="72"/>
      <c r="K24" s="66">
        <v>46275</v>
      </c>
      <c r="L24" s="73" t="s">
        <v>56</v>
      </c>
      <c r="M24" s="73"/>
      <c r="N24" s="73"/>
      <c r="O24" s="1"/>
    </row>
    <row r="25" spans="1:15" ht="38.1" customHeight="1" x14ac:dyDescent="0.25">
      <c r="B25" s="60">
        <v>13</v>
      </c>
      <c r="C25" s="71" t="s">
        <v>46</v>
      </c>
      <c r="D25" s="71"/>
      <c r="E25" s="71"/>
      <c r="F25" s="63" t="s">
        <v>19</v>
      </c>
      <c r="G25" s="72" t="s">
        <v>47</v>
      </c>
      <c r="H25" s="72"/>
      <c r="I25" s="72"/>
      <c r="J25" s="72"/>
      <c r="K25" s="66">
        <v>46276</v>
      </c>
      <c r="L25" s="73" t="s">
        <v>24</v>
      </c>
      <c r="M25" s="73"/>
      <c r="N25" s="73"/>
      <c r="O25" s="1"/>
    </row>
    <row r="26" spans="1:15" ht="26.1" customHeight="1" x14ac:dyDescent="0.25">
      <c r="B26" s="60">
        <v>14</v>
      </c>
      <c r="C26" s="71" t="s">
        <v>48</v>
      </c>
      <c r="D26" s="71"/>
      <c r="E26" s="71"/>
      <c r="F26" s="63" t="s">
        <v>19</v>
      </c>
      <c r="G26" s="72" t="s">
        <v>49</v>
      </c>
      <c r="H26" s="72"/>
      <c r="I26" s="72"/>
      <c r="J26" s="72"/>
      <c r="K26" s="66">
        <v>46275</v>
      </c>
      <c r="L26" s="73" t="s">
        <v>50</v>
      </c>
      <c r="M26" s="73"/>
      <c r="N26" s="73"/>
      <c r="O26" s="1"/>
    </row>
    <row r="27" spans="1:15" ht="26.1" customHeight="1" x14ac:dyDescent="0.25">
      <c r="B27" s="61">
        <v>15</v>
      </c>
      <c r="C27" s="74" t="s">
        <v>51</v>
      </c>
      <c r="D27" s="74"/>
      <c r="E27" s="74"/>
      <c r="F27" s="64" t="s">
        <v>19</v>
      </c>
      <c r="G27" s="75" t="s">
        <v>52</v>
      </c>
      <c r="H27" s="75"/>
      <c r="I27" s="75"/>
      <c r="J27" s="75"/>
      <c r="K27" s="67">
        <v>46279</v>
      </c>
      <c r="L27" s="76" t="s">
        <v>53</v>
      </c>
      <c r="M27" s="76"/>
      <c r="N27" s="76"/>
      <c r="O27" s="1"/>
    </row>
    <row r="28" spans="1:15" ht="12" customHeight="1" x14ac:dyDescent="0.25">
      <c r="O28" s="1"/>
    </row>
    <row r="29" spans="1:15" ht="33.950000000000003" customHeight="1" x14ac:dyDescent="0.25">
      <c r="B29" s="77" t="s">
        <v>54</v>
      </c>
      <c r="C29" s="78"/>
      <c r="D29" s="78"/>
      <c r="E29" s="78"/>
      <c r="F29" s="78"/>
      <c r="G29" s="78"/>
      <c r="H29" s="78"/>
      <c r="I29" s="78"/>
      <c r="J29" s="78"/>
      <c r="K29" s="78"/>
      <c r="L29" s="78"/>
      <c r="M29" s="78"/>
      <c r="N29" s="78"/>
      <c r="O29" s="1"/>
    </row>
    <row r="30" spans="1:15" x14ac:dyDescent="0.25">
      <c r="A30" s="1"/>
      <c r="B30" s="1"/>
      <c r="C30" s="1"/>
      <c r="D30" s="1"/>
      <c r="E30" s="1"/>
      <c r="F30" s="1"/>
      <c r="G30" s="1"/>
      <c r="H30" s="1"/>
      <c r="I30" s="1"/>
      <c r="J30" s="1"/>
      <c r="K30" s="1"/>
      <c r="L30" s="1"/>
      <c r="M30" s="1"/>
      <c r="N30" s="1"/>
      <c r="O30" s="1"/>
    </row>
    <row r="31" spans="1:15" x14ac:dyDescent="0.25">
      <c r="A31" s="1"/>
      <c r="B31" s="1"/>
      <c r="C31" s="1"/>
      <c r="D31" s="1"/>
      <c r="E31" s="1"/>
      <c r="F31" s="1"/>
      <c r="G31" s="1"/>
      <c r="H31" s="1"/>
      <c r="I31" s="1"/>
      <c r="J31" s="1"/>
      <c r="K31" s="1"/>
      <c r="L31" s="1"/>
      <c r="M31" s="1"/>
      <c r="N31" s="1"/>
      <c r="O31" s="1"/>
    </row>
    <row r="32" spans="1:15" x14ac:dyDescent="0.25">
      <c r="A32" s="1"/>
      <c r="B32" s="1"/>
      <c r="C32" s="1"/>
      <c r="D32" s="1"/>
      <c r="E32" s="1"/>
      <c r="F32" s="1"/>
      <c r="G32" s="1"/>
      <c r="H32" s="1"/>
      <c r="I32" s="1"/>
      <c r="J32" s="1"/>
      <c r="K32" s="1"/>
      <c r="L32" s="1"/>
      <c r="M32" s="1"/>
      <c r="N32" s="1"/>
      <c r="O32" s="1"/>
    </row>
    <row r="33" spans="1:15" x14ac:dyDescent="0.25">
      <c r="A33" s="1"/>
      <c r="B33" s="1"/>
      <c r="C33" s="1"/>
      <c r="D33" s="1"/>
      <c r="E33" s="1"/>
      <c r="F33" s="1"/>
      <c r="G33" s="1"/>
      <c r="H33" s="1"/>
      <c r="I33" s="1"/>
      <c r="J33" s="1"/>
      <c r="K33" s="1"/>
      <c r="L33" s="1"/>
      <c r="M33" s="1"/>
      <c r="N33" s="1"/>
      <c r="O33" s="1"/>
    </row>
    <row r="34" spans="1:15" x14ac:dyDescent="0.25">
      <c r="A34" s="1"/>
      <c r="B34" s="1"/>
      <c r="C34" s="1"/>
      <c r="D34" s="1"/>
      <c r="E34" s="1"/>
      <c r="F34" s="1"/>
      <c r="G34" s="1"/>
      <c r="H34" s="1"/>
      <c r="I34" s="1"/>
      <c r="J34" s="1"/>
      <c r="K34" s="1"/>
      <c r="L34" s="1"/>
      <c r="M34" s="1"/>
      <c r="N34" s="1"/>
      <c r="O34" s="1"/>
    </row>
    <row r="35" spans="1:15" x14ac:dyDescent="0.25">
      <c r="A35" s="1"/>
      <c r="B35" s="1"/>
      <c r="C35" s="1"/>
      <c r="D35" s="1"/>
      <c r="E35" s="1"/>
      <c r="F35" s="1"/>
      <c r="G35" s="1"/>
      <c r="H35" s="1"/>
      <c r="I35" s="1"/>
      <c r="J35" s="1"/>
      <c r="K35" s="1"/>
      <c r="L35" s="1"/>
      <c r="M35" s="1"/>
      <c r="N35" s="1"/>
      <c r="O35" s="1"/>
    </row>
    <row r="36" spans="1:15" x14ac:dyDescent="0.25">
      <c r="A36" s="1"/>
      <c r="B36" s="1"/>
      <c r="C36" s="1"/>
      <c r="D36" s="1"/>
      <c r="E36" s="1"/>
      <c r="F36" s="1"/>
      <c r="G36" s="1"/>
      <c r="H36" s="1"/>
      <c r="I36" s="1"/>
      <c r="J36" s="1"/>
      <c r="K36" s="1"/>
      <c r="L36" s="1"/>
      <c r="M36" s="1"/>
      <c r="N36" s="1"/>
      <c r="O36" s="1"/>
    </row>
    <row r="37" spans="1:15" x14ac:dyDescent="0.25">
      <c r="A37" s="1"/>
      <c r="B37" s="1"/>
      <c r="C37" s="1"/>
      <c r="D37" s="1"/>
      <c r="E37" s="1"/>
      <c r="F37" s="1"/>
      <c r="G37" s="1"/>
      <c r="H37" s="1"/>
      <c r="I37" s="1"/>
      <c r="J37" s="1"/>
      <c r="K37" s="1"/>
      <c r="L37" s="1"/>
      <c r="M37" s="1"/>
      <c r="N37" s="1"/>
      <c r="O37" s="1"/>
    </row>
    <row r="38" spans="1:15" x14ac:dyDescent="0.25">
      <c r="A38" s="1"/>
      <c r="B38" s="1"/>
      <c r="C38" s="1"/>
      <c r="D38" s="1"/>
      <c r="E38" s="1"/>
      <c r="F38" s="1"/>
      <c r="G38" s="1"/>
      <c r="H38" s="1"/>
      <c r="I38" s="1"/>
      <c r="J38" s="1"/>
      <c r="K38" s="1"/>
      <c r="L38" s="1"/>
      <c r="M38" s="1"/>
      <c r="N38" s="1"/>
      <c r="O38" s="1"/>
    </row>
    <row r="39" spans="1:15" x14ac:dyDescent="0.25">
      <c r="A39" s="1"/>
      <c r="B39" s="1"/>
      <c r="C39" s="1"/>
      <c r="D39" s="1"/>
      <c r="E39" s="1"/>
      <c r="F39" s="1"/>
      <c r="G39" s="1"/>
      <c r="H39" s="1"/>
      <c r="I39" s="1"/>
      <c r="J39" s="1"/>
      <c r="K39" s="1"/>
      <c r="L39" s="1"/>
      <c r="M39" s="1"/>
      <c r="N39" s="1"/>
      <c r="O39" s="1"/>
    </row>
    <row r="40" spans="1:15" x14ac:dyDescent="0.25">
      <c r="A40" s="1"/>
      <c r="B40" s="1"/>
      <c r="C40" s="1"/>
      <c r="D40" s="1"/>
      <c r="E40" s="1"/>
      <c r="F40" s="1"/>
      <c r="G40" s="1"/>
      <c r="H40" s="1"/>
      <c r="I40" s="1"/>
      <c r="J40" s="1"/>
      <c r="K40" s="1"/>
      <c r="L40" s="1"/>
      <c r="M40" s="1"/>
      <c r="N40" s="1"/>
      <c r="O40" s="1"/>
    </row>
    <row r="41" spans="1:15" x14ac:dyDescent="0.25">
      <c r="A41" s="1"/>
      <c r="B41" s="1"/>
      <c r="C41" s="1"/>
      <c r="D41" s="1"/>
      <c r="E41" s="1"/>
      <c r="F41" s="1"/>
      <c r="G41" s="1"/>
      <c r="H41" s="1"/>
      <c r="I41" s="1"/>
      <c r="J41" s="1"/>
      <c r="K41" s="1"/>
      <c r="L41" s="1"/>
      <c r="M41" s="1"/>
      <c r="N41" s="1"/>
      <c r="O41" s="1"/>
    </row>
    <row r="42" spans="1:15" x14ac:dyDescent="0.25">
      <c r="A42" s="1"/>
      <c r="B42" s="1"/>
      <c r="C42" s="1"/>
      <c r="D42" s="1"/>
      <c r="E42" s="1"/>
      <c r="F42" s="1"/>
      <c r="G42" s="1"/>
      <c r="H42" s="1"/>
      <c r="I42" s="1"/>
      <c r="J42" s="1"/>
      <c r="K42" s="1"/>
      <c r="L42" s="1"/>
      <c r="M42" s="1"/>
      <c r="N42" s="1"/>
      <c r="O42" s="1"/>
    </row>
    <row r="43" spans="1:15" x14ac:dyDescent="0.25">
      <c r="A43" s="1"/>
      <c r="B43" s="1"/>
      <c r="C43" s="1"/>
      <c r="D43" s="1"/>
      <c r="E43" s="1"/>
      <c r="F43" s="1"/>
      <c r="G43" s="1"/>
      <c r="H43" s="1"/>
      <c r="I43" s="1"/>
      <c r="J43" s="1"/>
      <c r="K43" s="1"/>
      <c r="L43" s="1"/>
      <c r="M43" s="1"/>
      <c r="N43" s="1"/>
      <c r="O43" s="1"/>
    </row>
    <row r="44" spans="1:15" x14ac:dyDescent="0.25">
      <c r="A44" s="1"/>
      <c r="B44" s="1"/>
      <c r="C44" s="1"/>
      <c r="D44" s="1"/>
      <c r="E44" s="1"/>
      <c r="F44" s="1"/>
      <c r="G44" s="1"/>
      <c r="H44" s="1"/>
      <c r="I44" s="1"/>
      <c r="J44" s="1"/>
      <c r="K44" s="1"/>
      <c r="L44" s="1"/>
      <c r="M44" s="1"/>
      <c r="N44" s="1"/>
      <c r="O44" s="1"/>
    </row>
    <row r="45" spans="1:15" x14ac:dyDescent="0.25">
      <c r="A45" s="1"/>
      <c r="B45" s="1"/>
      <c r="C45" s="1"/>
      <c r="D45" s="1"/>
      <c r="E45" s="1"/>
      <c r="F45" s="1"/>
      <c r="G45" s="1"/>
      <c r="H45" s="1"/>
      <c r="I45" s="1"/>
      <c r="J45" s="1"/>
      <c r="K45" s="1"/>
      <c r="L45" s="1"/>
      <c r="M45" s="1"/>
      <c r="N45" s="1"/>
      <c r="O45" s="1"/>
    </row>
    <row r="46" spans="1:15" x14ac:dyDescent="0.25">
      <c r="A46" s="1"/>
      <c r="B46" s="1"/>
      <c r="C46" s="1"/>
      <c r="D46" s="1"/>
      <c r="E46" s="1"/>
      <c r="F46" s="1"/>
      <c r="G46" s="1"/>
      <c r="H46" s="1"/>
      <c r="I46" s="1"/>
      <c r="J46" s="1"/>
      <c r="K46" s="1"/>
      <c r="L46" s="1"/>
      <c r="M46" s="1"/>
      <c r="N46" s="1"/>
      <c r="O46" s="1"/>
    </row>
    <row r="47" spans="1:15" x14ac:dyDescent="0.25">
      <c r="A47" s="1"/>
      <c r="B47" s="1"/>
      <c r="C47" s="1"/>
      <c r="D47" s="1"/>
      <c r="E47" s="1"/>
      <c r="F47" s="1"/>
      <c r="G47" s="1"/>
      <c r="H47" s="1"/>
      <c r="I47" s="1"/>
      <c r="J47" s="1"/>
      <c r="K47" s="1"/>
      <c r="L47" s="1"/>
      <c r="M47" s="1"/>
      <c r="N47" s="1"/>
      <c r="O47" s="1"/>
    </row>
    <row r="48" spans="1:15" x14ac:dyDescent="0.25">
      <c r="A48" s="1"/>
      <c r="B48" s="1"/>
      <c r="C48" s="1"/>
      <c r="D48" s="1"/>
      <c r="E48" s="1"/>
      <c r="F48" s="1"/>
      <c r="G48" s="1"/>
      <c r="H48" s="1"/>
      <c r="I48" s="1"/>
      <c r="J48" s="1"/>
      <c r="K48" s="1"/>
      <c r="L48" s="1"/>
      <c r="M48" s="1"/>
      <c r="N48" s="1"/>
      <c r="O48" s="1"/>
    </row>
    <row r="49" spans="1:15" x14ac:dyDescent="0.25">
      <c r="A49" s="1"/>
      <c r="B49" s="1"/>
      <c r="C49" s="1"/>
      <c r="D49" s="1"/>
      <c r="E49" s="1"/>
      <c r="F49" s="1"/>
      <c r="G49" s="1"/>
      <c r="H49" s="1"/>
      <c r="I49" s="1"/>
      <c r="J49" s="1"/>
      <c r="K49" s="1"/>
      <c r="L49" s="1"/>
      <c r="M49" s="1"/>
      <c r="N49" s="1"/>
      <c r="O49" s="1"/>
    </row>
    <row r="50" spans="1:15" x14ac:dyDescent="0.25">
      <c r="A50" s="1"/>
      <c r="B50" s="1"/>
      <c r="C50" s="1"/>
      <c r="D50" s="1"/>
      <c r="E50" s="1"/>
      <c r="F50" s="1"/>
      <c r="G50" s="1"/>
      <c r="H50" s="1"/>
      <c r="I50" s="1"/>
      <c r="J50" s="1"/>
      <c r="K50" s="1"/>
      <c r="L50" s="1"/>
      <c r="M50" s="1"/>
      <c r="N50" s="1"/>
      <c r="O50" s="1"/>
    </row>
    <row r="51" spans="1:15" x14ac:dyDescent="0.25">
      <c r="A51" s="1"/>
      <c r="B51" s="1"/>
      <c r="C51" s="1"/>
      <c r="D51" s="1"/>
      <c r="E51" s="1"/>
      <c r="F51" s="1"/>
      <c r="G51" s="1"/>
      <c r="H51" s="1"/>
      <c r="I51" s="1"/>
      <c r="J51" s="1"/>
      <c r="K51" s="1"/>
      <c r="L51" s="1"/>
      <c r="M51" s="1"/>
      <c r="N51" s="1"/>
      <c r="O51" s="1"/>
    </row>
    <row r="52" spans="1:15" x14ac:dyDescent="0.25">
      <c r="A52" s="1"/>
      <c r="B52" s="1"/>
      <c r="C52" s="1"/>
      <c r="D52" s="1"/>
      <c r="E52" s="1"/>
      <c r="F52" s="1"/>
      <c r="G52" s="1"/>
      <c r="H52" s="1"/>
      <c r="I52" s="1"/>
      <c r="J52" s="1"/>
      <c r="K52" s="1"/>
      <c r="L52" s="1"/>
      <c r="M52" s="1"/>
      <c r="N52" s="1"/>
      <c r="O52" s="1"/>
    </row>
    <row r="53" spans="1:15" x14ac:dyDescent="0.25">
      <c r="A53" s="1"/>
      <c r="B53" s="1"/>
      <c r="C53" s="1"/>
      <c r="D53" s="1"/>
      <c r="E53" s="1"/>
      <c r="F53" s="1"/>
      <c r="G53" s="1"/>
      <c r="H53" s="1"/>
      <c r="I53" s="1"/>
      <c r="J53" s="1"/>
      <c r="K53" s="1"/>
      <c r="L53" s="1"/>
      <c r="M53" s="1"/>
      <c r="N53" s="1"/>
      <c r="O53" s="1"/>
    </row>
    <row r="54" spans="1:15" x14ac:dyDescent="0.25">
      <c r="A54" s="1"/>
      <c r="B54" s="1"/>
      <c r="C54" s="1"/>
      <c r="D54" s="1"/>
      <c r="E54" s="1"/>
      <c r="F54" s="1"/>
      <c r="G54" s="1"/>
      <c r="H54" s="1"/>
      <c r="I54" s="1"/>
      <c r="J54" s="1"/>
      <c r="K54" s="1"/>
      <c r="L54" s="1"/>
      <c r="M54" s="1"/>
      <c r="N54" s="1"/>
      <c r="O54" s="1"/>
    </row>
    <row r="55" spans="1:15" x14ac:dyDescent="0.25">
      <c r="A55" s="1"/>
      <c r="B55" s="1"/>
      <c r="C55" s="1"/>
      <c r="D55" s="1"/>
      <c r="E55" s="1"/>
      <c r="F55" s="1"/>
      <c r="G55" s="1"/>
      <c r="H55" s="1"/>
      <c r="I55" s="1"/>
      <c r="J55" s="1"/>
      <c r="K55" s="1"/>
      <c r="L55" s="1"/>
      <c r="M55" s="1"/>
      <c r="N55" s="1"/>
      <c r="O55" s="1"/>
    </row>
  </sheetData>
  <mergeCells count="74">
    <mergeCell ref="B29:N29"/>
    <mergeCell ref="C20:E20"/>
    <mergeCell ref="C25:E25"/>
    <mergeCell ref="C10:E10"/>
    <mergeCell ref="C4:E4"/>
    <mergeCell ref="F4:H4"/>
    <mergeCell ref="I4:K4"/>
    <mergeCell ref="L4:N4"/>
    <mergeCell ref="C8:E8"/>
    <mergeCell ref="F8:H8"/>
    <mergeCell ref="I8:K8"/>
    <mergeCell ref="L8:N8"/>
    <mergeCell ref="C5:E5"/>
    <mergeCell ref="G18:J18"/>
    <mergeCell ref="B1:N1"/>
    <mergeCell ref="L13:N13"/>
    <mergeCell ref="L19:N19"/>
    <mergeCell ref="G15:J15"/>
    <mergeCell ref="L12:N12"/>
    <mergeCell ref="C6:E6"/>
    <mergeCell ref="I6:K6"/>
    <mergeCell ref="C24:E24"/>
    <mergeCell ref="F10:H10"/>
    <mergeCell ref="G13:J13"/>
    <mergeCell ref="C14:E14"/>
    <mergeCell ref="F6:H6"/>
    <mergeCell ref="G24:J24"/>
    <mergeCell ref="L27:N27"/>
    <mergeCell ref="I9:K9"/>
    <mergeCell ref="C18:E18"/>
    <mergeCell ref="L17:N17"/>
    <mergeCell ref="C15:E15"/>
    <mergeCell ref="G19:J19"/>
    <mergeCell ref="L16:N16"/>
    <mergeCell ref="C26:E26"/>
    <mergeCell ref="C27:E27"/>
    <mergeCell ref="G14:J14"/>
    <mergeCell ref="I5:K5"/>
    <mergeCell ref="C23:E23"/>
    <mergeCell ref="L22:N22"/>
    <mergeCell ref="G12:J12"/>
    <mergeCell ref="L9:N9"/>
    <mergeCell ref="C17:E17"/>
    <mergeCell ref="G21:J21"/>
    <mergeCell ref="F9:H9"/>
    <mergeCell ref="L6:N6"/>
    <mergeCell ref="G27:J27"/>
    <mergeCell ref="L21:N21"/>
    <mergeCell ref="I10:K10"/>
    <mergeCell ref="C13:E13"/>
    <mergeCell ref="G17:J17"/>
    <mergeCell ref="C12:E12"/>
    <mergeCell ref="L26:N26"/>
    <mergeCell ref="G22:J22"/>
    <mergeCell ref="L25:N25"/>
    <mergeCell ref="L10:N10"/>
    <mergeCell ref="C19:E19"/>
    <mergeCell ref="G23:J23"/>
    <mergeCell ref="C16:E16"/>
    <mergeCell ref="L15:N15"/>
    <mergeCell ref="F5:H5"/>
    <mergeCell ref="L24:N24"/>
    <mergeCell ref="G26:J26"/>
    <mergeCell ref="L18:N18"/>
    <mergeCell ref="L14:N14"/>
    <mergeCell ref="L5:N5"/>
    <mergeCell ref="G20:J20"/>
    <mergeCell ref="C9:E9"/>
    <mergeCell ref="C22:E22"/>
    <mergeCell ref="L23:N23"/>
    <mergeCell ref="G16:J16"/>
    <mergeCell ref="C21:E21"/>
    <mergeCell ref="G25:J25"/>
    <mergeCell ref="L20:N20"/>
  </mergeCells>
  <conditionalFormatting sqref="F13:F27">
    <cfRule type="containsText" dxfId="4" priority="1" operator="containsText" text="Արված">
      <formula>NOT(ISERROR(SEARCH("Արված",F13)))</formula>
    </cfRule>
  </conditionalFormatting>
  <conditionalFormatting sqref="F13:F27">
    <cfRule type="containsText" dxfId="3" priority="2" operator="containsText" text="Ընթացքում">
      <formula>NOT(ISERROR(SEARCH("Ընթացքում",F13)))</formula>
    </cfRule>
  </conditionalFormatting>
  <conditionalFormatting sqref="F13:F27">
    <cfRule type="containsText" dxfId="2" priority="3" operator="containsText" text="Չսկսված">
      <formula>NOT(ISERROR(SEARCH("Չսկսված",F13)))</formula>
    </cfRule>
  </conditionalFormatting>
  <conditionalFormatting sqref="K13:K27">
    <cfRule type="expression" dxfId="1" priority="4">
      <formula>AND($K13&lt;&gt;"",$K13&lt;TODAY(),$F13&lt;&gt;"Արված")</formula>
    </cfRule>
  </conditionalFormatting>
  <conditionalFormatting sqref="K13:K27">
    <cfRule type="expression" dxfId="0" priority="5">
      <formula>AND($K13=TODAY(),$F13&lt;&gt;"Արված")</formula>
    </cfRule>
  </conditionalFormatting>
  <dataValidations count="1">
    <dataValidation type="list" allowBlank="1" sqref="F13:F27" xr:uid="{00000000-0002-0000-0000-000000000000}">
      <formula1>"Արված,Ընթացքում,Չսկսված,Պարզ չէ"</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ԱՌԱՋԱԴՐԱՆՔՆԵՐ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2026-09-09T14:45:08Z</dcterms:created>
  <dcterms:modified xsi:type="dcterms:W3CDTF">2026-09-09T14:52:41Z</dcterms:modified>
</cp:coreProperties>
</file>