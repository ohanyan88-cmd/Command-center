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ԱՌԱՋԱԴՐԱՆՔՆԵՐ" sheetId="1" state="visible" r:id="rId1"/>
  </sheets>
  <definedNames/>
  <calcPr calcId="191029" fullCalcOnLoad="1"/>
</workbook>
</file>

<file path=xl/styles.xml><?xml version="1.0" encoding="utf-8"?>
<styleSheet xmlns="http://schemas.openxmlformats.org/spreadsheetml/2006/main">
  <numFmts count="3">
    <numFmt numFmtId="164" formatCode="yyyy\-mm\-dd"/>
    <numFmt numFmtId="165" formatCode="yyyy-mm-dd h:mm:ss"/>
    <numFmt numFmtId="166" formatCode="yyyy-mm-dd"/>
  </numFmts>
  <fonts count="16">
    <font>
      <name val="Calibri"/>
      <family val="2"/>
      <color theme="1"/>
      <sz val="11"/>
      <scheme val="minor"/>
    </font>
    <font>
      <name val="Calibri"/>
      <b val="1"/>
      <color rgb="FF1F3864"/>
      <sz val="19"/>
    </font>
    <font>
      <name val="Calibri"/>
      <b val="1"/>
      <color rgb="FF1F3864"/>
      <sz val="28"/>
      <scheme val="minor"/>
    </font>
    <font>
      <name val="Calibri"/>
      <b val="1"/>
      <color rgb="FF5B6472"/>
      <sz val="9"/>
      <scheme val="minor"/>
    </font>
    <font>
      <name val="Calibri"/>
      <b val="1"/>
      <color rgb="FF2F6B36"/>
      <sz val="28"/>
      <scheme val="minor"/>
    </font>
    <font>
      <name val="Calibri"/>
      <b val="1"/>
      <color rgb="FF9A6A00"/>
      <sz val="28"/>
      <scheme val="minor"/>
    </font>
    <font>
      <name val="Calibri"/>
      <b val="1"/>
      <color rgb="FFB42318"/>
      <sz val="28"/>
      <scheme val="minor"/>
    </font>
    <font>
      <name val="Calibri"/>
      <b val="1"/>
      <color rgb="FF0E7490"/>
      <sz val="28"/>
      <scheme val="minor"/>
    </font>
    <font>
      <name val="Calibri"/>
      <b val="1"/>
      <color rgb="FF18539E"/>
      <sz val="28"/>
      <scheme val="minor"/>
    </font>
    <font>
      <name val="Calibri"/>
      <b val="1"/>
      <color rgb="FFFFFFFF"/>
      <sz val="9.5"/>
      <scheme val="minor"/>
    </font>
    <font>
      <name val="Calibri"/>
      <b val="1"/>
      <color rgb="FF8A94A6"/>
      <sz val="10"/>
      <scheme val="minor"/>
    </font>
    <font>
      <name val="Calibri"/>
      <b val="1"/>
      <color rgb="FF24292F"/>
      <sz val="10"/>
      <scheme val="minor"/>
    </font>
    <font>
      <name val="Calibri"/>
      <color rgb="FF5B6472"/>
      <sz val="9.5"/>
      <scheme val="minor"/>
    </font>
    <font>
      <name val="Calibri"/>
      <b val="1"/>
      <color rgb="FF24292F"/>
      <sz val="9.5"/>
      <scheme val="minor"/>
    </font>
    <font>
      <name val="Calibri"/>
      <color rgb="FF24292F"/>
      <sz val="9.5"/>
      <scheme val="minor"/>
    </font>
    <font>
      <name val="Calibri"/>
      <i val="1"/>
      <color rgb="FF7A5200"/>
      <sz val="10"/>
      <scheme val="minor"/>
    </font>
  </fonts>
  <fills count="17">
    <fill>
      <patternFill/>
    </fill>
    <fill>
      <patternFill patternType="gray125"/>
    </fill>
    <fill>
      <patternFill patternType="solid">
        <fgColor rgb="FFF5F7F9"/>
      </patternFill>
    </fill>
    <fill>
      <patternFill patternType="solid">
        <fgColor rgb="FF1F3864"/>
      </patternFill>
    </fill>
    <fill>
      <patternFill patternType="solid">
        <fgColor rgb="FFFFFFFF"/>
        <bgColor indexed="64"/>
      </patternFill>
    </fill>
    <fill>
      <patternFill patternType="solid">
        <fgColor rgb="FF1F3864"/>
        <bgColor indexed="64"/>
      </patternFill>
    </fill>
    <fill>
      <patternFill patternType="solid">
        <fgColor rgb="FFF0F3F8"/>
        <bgColor indexed="64"/>
      </patternFill>
    </fill>
    <fill>
      <patternFill patternType="solid">
        <fgColor rgb="FF2F6B36"/>
        <bgColor indexed="64"/>
      </patternFill>
    </fill>
    <fill>
      <patternFill patternType="solid">
        <fgColor rgb="FFEDF6EE"/>
        <bgColor indexed="64"/>
      </patternFill>
    </fill>
    <fill>
      <patternFill patternType="solid">
        <fgColor rgb="FF9A6A00"/>
        <bgColor indexed="64"/>
      </patternFill>
    </fill>
    <fill>
      <patternFill patternType="solid">
        <fgColor rgb="FFFDF5E4"/>
        <bgColor indexed="64"/>
      </patternFill>
    </fill>
    <fill>
      <patternFill patternType="solid">
        <fgColor rgb="FFB42318"/>
        <bgColor indexed="64"/>
      </patternFill>
    </fill>
    <fill>
      <patternFill patternType="solid">
        <fgColor rgb="FFFDECEA"/>
        <bgColor indexed="64"/>
      </patternFill>
    </fill>
    <fill>
      <patternFill patternType="solid">
        <fgColor rgb="FF0E7490"/>
        <bgColor indexed="64"/>
      </patternFill>
    </fill>
    <fill>
      <patternFill patternType="solid">
        <fgColor rgb="FFE8F4F7"/>
        <bgColor indexed="64"/>
      </patternFill>
    </fill>
    <fill>
      <patternFill patternType="solid">
        <fgColor rgb="FF18539E"/>
        <bgColor indexed="64"/>
      </patternFill>
    </fill>
    <fill>
      <patternFill patternType="solid">
        <fgColor rgb="FFEBF2FA"/>
        <bgColor indexed="64"/>
      </patternFill>
    </fill>
  </fills>
  <borders count="15">
    <border>
      <left/>
      <right/>
      <top/>
      <bottom/>
      <diagonal/>
    </border>
    <border>
      <left/>
      <right/>
      <top/>
      <bottom/>
      <diagonal/>
    </border>
    <border>
      <left/>
      <right style="thick">
        <color rgb="FFFFFFFF"/>
      </right>
      <top/>
      <bottom/>
      <diagonal/>
    </border>
    <border>
      <left style="thick">
        <color rgb="FFFFFFFF"/>
      </left>
      <right/>
      <top/>
      <bottom/>
      <diagonal/>
    </border>
    <border>
      <left/>
      <right/>
      <top/>
      <bottom style="thin">
        <color rgb="FFE6E9EE"/>
      </bottom>
      <diagonal/>
    </border>
    <border>
      <left/>
      <right/>
      <top style="thin">
        <color rgb="FFE6E9EE"/>
      </top>
      <bottom style="thin">
        <color rgb="FFE6E9EE"/>
      </bottom>
      <diagonal/>
    </border>
    <border>
      <left/>
      <right/>
      <top style="thin">
        <color rgb="FFE6E9EE"/>
      </top>
      <bottom style="thin">
        <color rgb="FFD0D5DD"/>
      </bottom>
      <diagonal/>
    </border>
    <border>
      <left style="thick">
        <color rgb="FF9A6A00"/>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E6E9EE"/>
      </top>
      <bottom/>
      <diagonal/>
    </border>
    <border>
      <left style="thick">
        <color rgb="FFFFFFFF"/>
      </left>
      <right style="thick">
        <color rgb="FFFFFFFF"/>
      </right>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1"/>
  </cellStyleXfs>
  <cellXfs count="108">
    <xf numFmtId="0" fontId="0" fillId="0" borderId="0" pivotButton="0" quotePrefix="0" xfId="0"/>
    <xf numFmtId="0" fontId="0" fillId="2" borderId="0" pivotButton="0" quotePrefix="0" xfId="0"/>
    <xf numFmtId="0" fontId="0" fillId="3" borderId="0" pivotButton="0" quotePrefix="0" xfId="0"/>
    <xf numFmtId="0" fontId="0" fillId="0" borderId="0" pivotButton="0" quotePrefix="0" xfId="0"/>
    <xf numFmtId="0" fontId="1" fillId="2" borderId="0" applyAlignment="1" pivotButton="0" quotePrefix="0" xfId="0">
      <alignment horizontal="left" vertical="center"/>
    </xf>
    <xf numFmtId="0" fontId="0" fillId="4" borderId="0" pivotButton="0" quotePrefix="0" xfId="0"/>
    <xf numFmtId="0" fontId="0" fillId="5" borderId="1" pivotButton="0" quotePrefix="0" xfId="0"/>
    <xf numFmtId="0" fontId="2" fillId="6" borderId="0" applyAlignment="1" pivotButton="0" quotePrefix="0" xfId="0">
      <alignment horizontal="center"/>
    </xf>
    <xf numFmtId="0" fontId="3" fillId="6" borderId="0" applyAlignment="1" pivotButton="0" quotePrefix="0" xfId="0">
      <alignment horizontal="center" vertical="top"/>
    </xf>
    <xf numFmtId="0" fontId="0" fillId="5" borderId="2" pivotButton="0" quotePrefix="0" xfId="0"/>
    <xf numFmtId="0" fontId="2" fillId="6" borderId="2" applyAlignment="1" pivotButton="0" quotePrefix="0" xfId="0">
      <alignment horizontal="center"/>
    </xf>
    <xf numFmtId="0" fontId="3" fillId="6" borderId="2" applyAlignment="1" pivotButton="0" quotePrefix="0" xfId="0">
      <alignment horizontal="center" vertical="top"/>
    </xf>
    <xf numFmtId="0" fontId="0" fillId="7" borderId="3" pivotButton="0" quotePrefix="0" xfId="0"/>
    <xf numFmtId="0" fontId="0" fillId="7" borderId="1" pivotButton="0" quotePrefix="0" xfId="0"/>
    <xf numFmtId="0" fontId="4" fillId="8" borderId="3" applyAlignment="1" pivotButton="0" quotePrefix="0" xfId="0">
      <alignment horizontal="center"/>
    </xf>
    <xf numFmtId="0" fontId="4" fillId="8" borderId="1" applyAlignment="1" pivotButton="0" quotePrefix="0" xfId="0">
      <alignment horizontal="center"/>
    </xf>
    <xf numFmtId="0" fontId="3" fillId="8" borderId="3" applyAlignment="1" pivotButton="0" quotePrefix="0" xfId="0">
      <alignment horizontal="center" vertical="top"/>
    </xf>
    <xf numFmtId="0" fontId="3" fillId="8" borderId="1" applyAlignment="1" pivotButton="0" quotePrefix="0" xfId="0">
      <alignment horizontal="center" vertical="top"/>
    </xf>
    <xf numFmtId="0" fontId="0" fillId="7" borderId="2" pivotButton="0" quotePrefix="0" xfId="0"/>
    <xf numFmtId="0" fontId="4" fillId="8" borderId="2" applyAlignment="1" pivotButton="0" quotePrefix="0" xfId="0">
      <alignment horizontal="center"/>
    </xf>
    <xf numFmtId="0" fontId="3" fillId="8" borderId="2" applyAlignment="1" pivotButton="0" quotePrefix="0" xfId="0">
      <alignment horizontal="center" vertical="top"/>
    </xf>
    <xf numFmtId="0" fontId="0" fillId="9" borderId="3" pivotButton="0" quotePrefix="0" xfId="0"/>
    <xf numFmtId="0" fontId="0" fillId="9" borderId="1" pivotButton="0" quotePrefix="0" xfId="0"/>
    <xf numFmtId="0" fontId="5" fillId="10" borderId="3" applyAlignment="1" pivotButton="0" quotePrefix="0" xfId="0">
      <alignment horizontal="center"/>
    </xf>
    <xf numFmtId="0" fontId="5" fillId="10" borderId="1" applyAlignment="1" pivotButton="0" quotePrefix="0" xfId="0">
      <alignment horizontal="center"/>
    </xf>
    <xf numFmtId="0" fontId="3" fillId="10" borderId="3" applyAlignment="1" pivotButton="0" quotePrefix="0" xfId="0">
      <alignment horizontal="center" vertical="top"/>
    </xf>
    <xf numFmtId="0" fontId="3" fillId="10" borderId="1" applyAlignment="1" pivotButton="0" quotePrefix="0" xfId="0">
      <alignment horizontal="center" vertical="top"/>
    </xf>
    <xf numFmtId="0" fontId="0" fillId="9" borderId="2" pivotButton="0" quotePrefix="0" xfId="0"/>
    <xf numFmtId="0" fontId="5" fillId="10" borderId="2" applyAlignment="1" pivotButton="0" quotePrefix="0" xfId="0">
      <alignment horizontal="center"/>
    </xf>
    <xf numFmtId="0" fontId="3" fillId="10" borderId="2" applyAlignment="1" pivotButton="0" quotePrefix="0" xfId="0">
      <alignment horizontal="center" vertical="top"/>
    </xf>
    <xf numFmtId="0" fontId="0" fillId="11" borderId="3" pivotButton="0" quotePrefix="0" xfId="0"/>
    <xf numFmtId="0" fontId="0" fillId="11" borderId="1" pivotButton="0" quotePrefix="0" xfId="0"/>
    <xf numFmtId="0" fontId="6" fillId="12" borderId="3" applyAlignment="1" pivotButton="0" quotePrefix="0" xfId="0">
      <alignment horizontal="center"/>
    </xf>
    <xf numFmtId="0" fontId="6" fillId="12" borderId="1" applyAlignment="1" pivotButton="0" quotePrefix="0" xfId="0">
      <alignment horizontal="center"/>
    </xf>
    <xf numFmtId="0" fontId="3" fillId="12" borderId="3" applyAlignment="1" pivotButton="0" quotePrefix="0" xfId="0">
      <alignment horizontal="center" vertical="top"/>
    </xf>
    <xf numFmtId="0" fontId="3" fillId="12" borderId="1" applyAlignment="1" pivotButton="0" quotePrefix="0" xfId="0">
      <alignment horizontal="center" vertical="top"/>
    </xf>
    <xf numFmtId="0" fontId="0" fillId="11" borderId="2" pivotButton="0" quotePrefix="0" xfId="0"/>
    <xf numFmtId="0" fontId="6" fillId="12" borderId="2" applyAlignment="1" pivotButton="0" quotePrefix="0" xfId="0">
      <alignment horizontal="center"/>
    </xf>
    <xf numFmtId="0" fontId="3" fillId="12" borderId="2" applyAlignment="1" pivotButton="0" quotePrefix="0" xfId="0">
      <alignment horizontal="center" vertical="top"/>
    </xf>
    <xf numFmtId="0" fontId="6" fillId="12" borderId="0" applyAlignment="1" pivotButton="0" quotePrefix="0" xfId="0">
      <alignment horizontal="center"/>
    </xf>
    <xf numFmtId="0" fontId="3" fillId="12" borderId="0" applyAlignment="1" pivotButton="0" quotePrefix="0" xfId="0">
      <alignment horizontal="center" vertical="top"/>
    </xf>
    <xf numFmtId="0" fontId="0" fillId="13" borderId="3" pivotButton="0" quotePrefix="0" xfId="0"/>
    <xf numFmtId="0" fontId="0" fillId="13" borderId="1" pivotButton="0" quotePrefix="0" xfId="0"/>
    <xf numFmtId="0" fontId="7" fillId="14" borderId="3" applyAlignment="1" pivotButton="0" quotePrefix="0" xfId="0">
      <alignment horizontal="center"/>
    </xf>
    <xf numFmtId="0" fontId="7" fillId="14" borderId="1" applyAlignment="1" pivotButton="0" quotePrefix="0" xfId="0">
      <alignment horizontal="center"/>
    </xf>
    <xf numFmtId="0" fontId="3" fillId="14" borderId="3" applyAlignment="1" pivotButton="0" quotePrefix="0" xfId="0">
      <alignment horizontal="center" vertical="top"/>
    </xf>
    <xf numFmtId="0" fontId="3" fillId="14" borderId="1" applyAlignment="1" pivotButton="0" quotePrefix="0" xfId="0">
      <alignment horizontal="center" vertical="top"/>
    </xf>
    <xf numFmtId="0" fontId="0" fillId="13" borderId="2" pivotButton="0" quotePrefix="0" xfId="0"/>
    <xf numFmtId="0" fontId="7" fillId="14" borderId="2" applyAlignment="1" pivotButton="0" quotePrefix="0" xfId="0">
      <alignment horizontal="center"/>
    </xf>
    <xf numFmtId="0" fontId="3" fillId="14" borderId="2" applyAlignment="1" pivotButton="0" quotePrefix="0" xfId="0">
      <alignment horizontal="center" vertical="top"/>
    </xf>
    <xf numFmtId="0" fontId="0" fillId="15" borderId="3" pivotButton="0" quotePrefix="0" xfId="0"/>
    <xf numFmtId="0" fontId="0" fillId="15" borderId="1" pivotButton="0" quotePrefix="0" xfId="0"/>
    <xf numFmtId="0" fontId="8" fillId="16" borderId="3" applyAlignment="1" pivotButton="0" quotePrefix="0" xfId="0">
      <alignment horizontal="center"/>
    </xf>
    <xf numFmtId="0" fontId="8" fillId="16" borderId="1" applyAlignment="1" pivotButton="0" quotePrefix="0" xfId="0">
      <alignment horizontal="center"/>
    </xf>
    <xf numFmtId="0" fontId="3" fillId="16" borderId="3" applyAlignment="1" pivotButton="0" quotePrefix="0" xfId="0">
      <alignment horizontal="center" vertical="top"/>
    </xf>
    <xf numFmtId="0" fontId="3" fillId="16" borderId="1" applyAlignment="1" pivotButton="0" quotePrefix="0" xfId="0">
      <alignment horizontal="center" vertical="top"/>
    </xf>
    <xf numFmtId="0" fontId="0" fillId="15" borderId="2" pivotButton="0" quotePrefix="0" xfId="0"/>
    <xf numFmtId="0" fontId="8" fillId="16" borderId="2" applyAlignment="1" pivotButton="0" quotePrefix="0" xfId="0">
      <alignment horizontal="center"/>
    </xf>
    <xf numFmtId="0" fontId="3" fillId="16" borderId="2" applyAlignment="1" pivotButton="0" quotePrefix="0" xfId="0">
      <alignment horizontal="center" vertical="top"/>
    </xf>
    <xf numFmtId="0" fontId="10" fillId="4" borderId="4" applyAlignment="1" pivotButton="0" quotePrefix="0" xfId="0">
      <alignment horizontal="center" vertical="center" wrapText="1"/>
    </xf>
    <xf numFmtId="0" fontId="10" fillId="4" borderId="5" applyAlignment="1" pivotButton="0" quotePrefix="0" xfId="0">
      <alignment horizontal="center" vertical="center" wrapText="1"/>
    </xf>
    <xf numFmtId="0" fontId="10" fillId="4" borderId="6" applyAlignment="1" pivotButton="0" quotePrefix="0" xfId="0">
      <alignment horizontal="center" vertical="center" wrapText="1"/>
    </xf>
    <xf numFmtId="0" fontId="13" fillId="4" borderId="4" applyAlignment="1" pivotButton="0" quotePrefix="0" xfId="0">
      <alignment horizontal="center" vertical="center" wrapText="1"/>
    </xf>
    <xf numFmtId="0" fontId="13" fillId="4" borderId="5" applyAlignment="1" pivotButton="0" quotePrefix="0" xfId="0">
      <alignment horizontal="center" vertical="center" wrapText="1"/>
    </xf>
    <xf numFmtId="0" fontId="13" fillId="4" borderId="6" applyAlignment="1" pivotButton="0" quotePrefix="0" xfId="0">
      <alignment horizontal="center" vertical="center" wrapText="1"/>
    </xf>
    <xf numFmtId="164" fontId="14" fillId="4" borderId="4" applyAlignment="1" pivotButton="0" quotePrefix="0" xfId="0">
      <alignment horizontal="center" vertical="center" wrapText="1"/>
    </xf>
    <xf numFmtId="164" fontId="14" fillId="4" borderId="5" applyAlignment="1" pivotButton="0" quotePrefix="0" xfId="0">
      <alignment horizontal="center" vertical="center" wrapText="1"/>
    </xf>
    <xf numFmtId="164" fontId="14" fillId="4" borderId="6" applyAlignment="1" pivotButton="0" quotePrefix="0" xfId="0">
      <alignment horizontal="center" vertical="center" wrapText="1"/>
    </xf>
    <xf numFmtId="0" fontId="11" fillId="4" borderId="4" applyAlignment="1" pivotButton="0" quotePrefix="0" xfId="0">
      <alignment horizontal="left" vertical="center" wrapText="1"/>
    </xf>
    <xf numFmtId="0" fontId="0" fillId="0" borderId="4" pivotButton="0" quotePrefix="0" xfId="0"/>
    <xf numFmtId="0" fontId="14" fillId="4" borderId="4" applyAlignment="1" pivotButton="0" quotePrefix="0" xfId="0">
      <alignment horizontal="left" vertical="center" wrapText="1"/>
    </xf>
    <xf numFmtId="0" fontId="11" fillId="4" borderId="5" applyAlignment="1" pivotButton="0" quotePrefix="0" xfId="0">
      <alignment horizontal="left" vertical="center" wrapText="1"/>
    </xf>
    <xf numFmtId="0" fontId="12" fillId="4" borderId="5" applyAlignment="1" pivotButton="0" quotePrefix="0" xfId="0">
      <alignment horizontal="left" vertical="center" wrapText="1"/>
    </xf>
    <xf numFmtId="0" fontId="14" fillId="4" borderId="5" applyAlignment="1" pivotButton="0" quotePrefix="0" xfId="0">
      <alignment horizontal="left" vertical="center" wrapText="1"/>
    </xf>
    <xf numFmtId="0" fontId="11" fillId="4" borderId="6" applyAlignment="1" pivotButton="0" quotePrefix="0" xfId="0">
      <alignment horizontal="left" vertical="center" wrapText="1"/>
    </xf>
    <xf numFmtId="0" fontId="12" fillId="4" borderId="6" applyAlignment="1" pivotButton="0" quotePrefix="0" xfId="0">
      <alignment horizontal="left" vertical="center" wrapText="1"/>
    </xf>
    <xf numFmtId="0" fontId="14" fillId="4" borderId="6" applyAlignment="1" pivotButton="0" quotePrefix="0" xfId="0">
      <alignment horizontal="left" vertical="center" wrapText="1"/>
    </xf>
    <xf numFmtId="0" fontId="15" fillId="10" borderId="7" applyAlignment="1" pivotButton="0" quotePrefix="0" xfId="0">
      <alignment horizontal="left" vertical="center" wrapText="1"/>
    </xf>
    <xf numFmtId="0" fontId="15" fillId="10" borderId="1" applyAlignment="1" pivotButton="0" quotePrefix="0" xfId="0">
      <alignment horizontal="left" vertical="center" wrapText="1"/>
    </xf>
    <xf numFmtId="0" fontId="9" fillId="5" borderId="8" applyAlignment="1" pivotButton="0" quotePrefix="0" xfId="0">
      <alignment horizontal="center" vertical="center"/>
    </xf>
    <xf numFmtId="0" fontId="9" fillId="5" borderId="9" applyAlignment="1" pivotButton="0" quotePrefix="0" xfId="0">
      <alignment horizontal="left" vertical="center"/>
    </xf>
    <xf numFmtId="0" fontId="9" fillId="5" borderId="9" applyAlignment="1" pivotButton="0" quotePrefix="0" xfId="0">
      <alignment horizontal="center" vertical="center"/>
    </xf>
    <xf numFmtId="0" fontId="9" fillId="5" borderId="10" applyAlignment="1" pivotButton="0" quotePrefix="0" xfId="0">
      <alignment horizontal="left" vertical="center"/>
    </xf>
    <xf numFmtId="0" fontId="1" fillId="2" borderId="1" applyAlignment="1" pivotButton="0" quotePrefix="0" xfId="0">
      <alignment horizontal="left" vertical="center"/>
    </xf>
    <xf numFmtId="0" fontId="0" fillId="0" borderId="2" pivotButton="0" quotePrefix="0" xfId="0"/>
    <xf numFmtId="0" fontId="0" fillId="7" borderId="12" pivotButton="0" quotePrefix="0" xfId="0"/>
    <xf numFmtId="0" fontId="0" fillId="9" borderId="12" pivotButton="0" quotePrefix="0" xfId="0"/>
    <xf numFmtId="0" fontId="0" fillId="11" borderId="12" pivotButton="0" quotePrefix="0" xfId="0"/>
    <xf numFmtId="0" fontId="4" fillId="8" borderId="12" applyAlignment="1" pivotButton="0" quotePrefix="0" xfId="0">
      <alignment horizontal="center"/>
    </xf>
    <xf numFmtId="0" fontId="5" fillId="10" borderId="12" applyAlignment="1" pivotButton="0" quotePrefix="0" xfId="0">
      <alignment horizontal="center"/>
    </xf>
    <xf numFmtId="0" fontId="6" fillId="12" borderId="12" applyAlignment="1" pivotButton="0" quotePrefix="0" xfId="0">
      <alignment horizontal="center"/>
    </xf>
    <xf numFmtId="0" fontId="3" fillId="8" borderId="12" applyAlignment="1" pivotButton="0" quotePrefix="0" xfId="0">
      <alignment horizontal="center" vertical="top"/>
    </xf>
    <xf numFmtId="0" fontId="3" fillId="10" borderId="12" applyAlignment="1" pivotButton="0" quotePrefix="0" xfId="0">
      <alignment horizontal="center" vertical="top"/>
    </xf>
    <xf numFmtId="0" fontId="3" fillId="12" borderId="12" applyAlignment="1" pivotButton="0" quotePrefix="0" xfId="0">
      <alignment horizontal="center" vertical="top"/>
    </xf>
    <xf numFmtId="0" fontId="0" fillId="13" borderId="12" pivotButton="0" quotePrefix="0" xfId="0"/>
    <xf numFmtId="0" fontId="0" fillId="15" borderId="12" pivotButton="0" quotePrefix="0" xfId="0"/>
    <xf numFmtId="0" fontId="7" fillId="14" borderId="12" applyAlignment="1" pivotButton="0" quotePrefix="0" xfId="0">
      <alignment horizontal="center"/>
    </xf>
    <xf numFmtId="0" fontId="8" fillId="16" borderId="12" applyAlignment="1" pivotButton="0" quotePrefix="0" xfId="0">
      <alignment horizontal="center"/>
    </xf>
    <xf numFmtId="0" fontId="3" fillId="14" borderId="12" applyAlignment="1" pivotButton="0" quotePrefix="0" xfId="0">
      <alignment horizontal="center" vertical="top"/>
    </xf>
    <xf numFmtId="0" fontId="3" fillId="16" borderId="12" applyAlignment="1" pivotButton="0" quotePrefix="0" xfId="0">
      <alignment horizontal="center" vertical="top"/>
    </xf>
    <xf numFmtId="0" fontId="0" fillId="0" borderId="9" pivotButton="0" quotePrefix="0" xfId="0"/>
    <xf numFmtId="0" fontId="0" fillId="0" borderId="10" pivotButton="0" quotePrefix="0" xfId="0"/>
    <xf numFmtId="164" fontId="14" fillId="4" borderId="4" applyAlignment="1" pivotButton="0" quotePrefix="0" xfId="0">
      <alignment horizontal="center" vertical="center" wrapText="1"/>
    </xf>
    <xf numFmtId="0" fontId="0" fillId="0" borderId="5" pivotButton="0" quotePrefix="0" xfId="0"/>
    <xf numFmtId="164" fontId="14" fillId="4" borderId="5" applyAlignment="1" pivotButton="0" quotePrefix="0" xfId="0">
      <alignment horizontal="center" vertical="center" wrapText="1"/>
    </xf>
    <xf numFmtId="0" fontId="0" fillId="0" borderId="6" pivotButton="0" quotePrefix="0" xfId="0"/>
    <xf numFmtId="164" fontId="14" fillId="4" borderId="6" applyAlignment="1" pivotButton="0" quotePrefix="0" xfId="0">
      <alignment horizontal="center" vertical="center" wrapText="1"/>
    </xf>
    <xf numFmtId="166" fontId="0" fillId="0" borderId="0" pivotButton="0" quotePrefix="0" xfId="0"/>
  </cellXfs>
  <cellStyles count="1">
    <cellStyle name="Normal" xfId="0" builtinId="0"/>
  </cellStyles>
  <dxfs count="7">
    <dxf>
      <font>
        <b val="1"/>
        <color rgb="FF9A6A00"/>
      </font>
    </dxf>
    <dxf>
      <font>
        <b val="1"/>
        <color rgb="FFB42318"/>
      </font>
    </dxf>
    <dxf>
      <font>
        <b val="1"/>
        <color rgb="FFB42318"/>
      </font>
      <fill>
        <patternFill patternType="solid">
          <fgColor indexed="64"/>
          <bgColor rgb="FFFDECEA"/>
        </patternFill>
      </fill>
    </dxf>
    <dxf>
      <font>
        <b val="1"/>
        <color rgb="FF9A6A00"/>
      </font>
      <fill>
        <patternFill patternType="solid">
          <fgColor indexed="64"/>
          <bgColor rgb="FFFDF5E4"/>
        </patternFill>
      </fill>
    </dxf>
    <dxf>
      <font>
        <b val="1"/>
        <color rgb="FF2F6B36"/>
      </font>
      <fill>
        <patternFill patternType="solid">
          <fgColor indexed="64"/>
          <bgColor rgb="FFEDF6EE"/>
        </patternFill>
      </fill>
    </dxf>
    <dxf>
      <font>
        <b val="1"/>
        <color rgb="FF9A6A00"/>
      </font>
      <fill>
        <patternFill patternType="solid">
          <fgColor rgb="FFFDF5E4"/>
        </patternFill>
      </fill>
    </dxf>
    <dxf>
      <font>
        <b val="1"/>
        <color rgb="FFB42318"/>
      </font>
      <fill>
        <patternFill patternType="solid">
          <fgColor rgb="FF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O55"/>
  <sheetViews>
    <sheetView showGridLines="0" tabSelected="1" workbookViewId="0">
      <selection activeCell="S9" sqref="S9"/>
    </sheetView>
  </sheetViews>
  <sheetFormatPr baseColWidth="8" defaultRowHeight="15"/>
  <cols>
    <col width="2" customWidth="1" style="3" min="1" max="1"/>
    <col width="6" customWidth="1" style="3" min="2" max="2"/>
    <col width="17" customWidth="1" style="3" min="3" max="14"/>
    <col width="2" customWidth="1" style="3" min="15" max="15"/>
  </cols>
  <sheetData>
    <row r="1" ht="38.1" customHeight="1" s="3">
      <c r="A1" s="1" t="n"/>
      <c r="B1" s="83" t="inlineStr">
        <is>
          <t>ԱՌԱՋԱԴՐԱՆՔՆԵՐ</t>
        </is>
      </c>
      <c r="O1" s="1" t="n"/>
    </row>
    <row r="2" ht="3" customHeight="1" s="3">
      <c r="A2" s="1" t="n"/>
      <c r="B2" s="2" t="n"/>
      <c r="C2" s="2" t="n"/>
      <c r="D2" s="2" t="n"/>
      <c r="E2" s="2" t="n"/>
      <c r="F2" s="2" t="n"/>
      <c r="G2" s="2" t="n"/>
      <c r="H2" s="2" t="n"/>
      <c r="I2" s="2" t="n"/>
      <c r="J2" s="2" t="n"/>
      <c r="K2" s="2" t="n"/>
      <c r="L2" s="2" t="n"/>
      <c r="M2" s="2" t="n"/>
      <c r="N2" s="2" t="n"/>
      <c r="O2" s="1" t="n"/>
    </row>
    <row r="3" ht="9.949999999999999" customHeight="1" s="3">
      <c r="A3" s="1" t="n"/>
      <c r="B3" s="5" t="n"/>
      <c r="C3" s="5" t="n"/>
      <c r="D3" s="5" t="n"/>
      <c r="E3" s="5" t="n"/>
      <c r="F3" s="5" t="n"/>
      <c r="G3" s="5" t="n"/>
      <c r="H3" s="5" t="n"/>
      <c r="I3" s="5" t="n"/>
      <c r="J3" s="5" t="n"/>
      <c r="K3" s="5" t="n"/>
      <c r="L3" s="5" t="n"/>
      <c r="M3" s="5" t="n"/>
      <c r="N3" s="5" t="n"/>
      <c r="O3" s="1" t="n"/>
    </row>
    <row r="4" ht="5.1" customHeight="1" s="3">
      <c r="A4" s="1" t="n"/>
      <c r="B4" s="5" t="n"/>
      <c r="C4" s="9" t="n"/>
      <c r="E4" s="84" t="n"/>
      <c r="F4" s="85" t="n"/>
      <c r="H4" s="84" t="n"/>
      <c r="I4" s="86" t="n"/>
      <c r="K4" s="84" t="n"/>
      <c r="L4" s="87" t="n"/>
      <c r="N4" s="84" t="n"/>
      <c r="O4" s="1" t="n"/>
    </row>
    <row r="5" ht="45.95" customHeight="1" s="3">
      <c r="A5" s="1" t="n"/>
      <c r="B5" s="5" t="n"/>
      <c r="C5" s="10">
        <f>COUNTA($F$13:$F$27)</f>
        <v/>
      </c>
      <c r="E5" s="84" t="n"/>
      <c r="F5" s="88">
        <f>COUNTIF($F$13:$F$27,"Արված")</f>
        <v/>
      </c>
      <c r="H5" s="84" t="n"/>
      <c r="I5" s="89">
        <f>COUNTIF($F$13:$F$27,"Ընթացքում")</f>
        <v/>
      </c>
      <c r="K5" s="84" t="n"/>
      <c r="L5" s="90">
        <f>COUNTIF($F$13:$F$27,"Չսկսված")</f>
        <v/>
      </c>
      <c r="N5" s="84" t="n"/>
      <c r="O5" s="1" t="n"/>
    </row>
    <row r="6" ht="20.1" customHeight="1" s="3">
      <c r="A6" s="1" t="n"/>
      <c r="B6" s="5" t="n"/>
      <c r="C6" s="11" t="inlineStr">
        <is>
          <t>ԸՆԴԱՄԵՆԸ</t>
        </is>
      </c>
      <c r="E6" s="84" t="n"/>
      <c r="F6" s="91" t="inlineStr">
        <is>
          <t>ԱՐՎԱԾ</t>
        </is>
      </c>
      <c r="H6" s="84" t="n"/>
      <c r="I6" s="92" t="inlineStr">
        <is>
          <t>ԸՆԹԱՑՔՈՒՄ</t>
        </is>
      </c>
      <c r="K6" s="84" t="n"/>
      <c r="L6" s="93" t="inlineStr">
        <is>
          <t>ՉՍԿՍՎԱԾ</t>
        </is>
      </c>
      <c r="N6" s="84" t="n"/>
      <c r="O6" s="1" t="n"/>
    </row>
    <row r="7" ht="12" customHeight="1" s="3">
      <c r="A7" s="1" t="n"/>
      <c r="B7" s="5" t="n"/>
      <c r="C7" s="5" t="n"/>
      <c r="D7" s="5" t="n"/>
      <c r="E7" s="5" t="n"/>
      <c r="F7" s="5" t="n"/>
      <c r="G7" s="5" t="n"/>
      <c r="H7" s="5" t="n"/>
      <c r="I7" s="5" t="n"/>
      <c r="J7" s="5" t="n"/>
      <c r="K7" s="5" t="n"/>
      <c r="L7" s="5" t="n"/>
      <c r="M7" s="5" t="n"/>
      <c r="N7" s="5" t="n"/>
      <c r="O7" s="1" t="n"/>
    </row>
    <row r="8" ht="5.1" customHeight="1" s="3">
      <c r="A8" s="1" t="n"/>
      <c r="B8" s="5" t="n"/>
      <c r="C8" s="36" t="n"/>
      <c r="E8" s="84" t="n"/>
      <c r="F8" s="86" t="n"/>
      <c r="H8" s="84" t="n"/>
      <c r="I8" s="94" t="n"/>
      <c r="K8" s="84" t="n"/>
      <c r="L8" s="95" t="n"/>
      <c r="N8" s="84" t="n"/>
      <c r="O8" s="1" t="n"/>
    </row>
    <row r="9" ht="45.95" customHeight="1" s="3">
      <c r="A9" s="1" t="n"/>
      <c r="B9" s="5" t="n"/>
      <c r="C9" s="37">
        <f>SUMPRODUCT(($K$13:$K$27&lt;&gt;"")*($K$13:$K$27&lt;TODAY())*($F$13:$F$27&lt;&gt;"Արված"))</f>
        <v/>
      </c>
      <c r="E9" s="84" t="n"/>
      <c r="F9" s="89">
        <f>SUMPRODUCT(($K$13:$K$27=TODAY())*($F$13:$F$27&lt;&gt;"Արված"))</f>
        <v/>
      </c>
      <c r="H9" s="84" t="n"/>
      <c r="I9" s="96">
        <f>SUMPRODUCT(($K$13:$K$27=TODAY()+1)*($F$13:$F$27&lt;&gt;"Արված"))</f>
        <v/>
      </c>
      <c r="K9" s="84" t="n"/>
      <c r="L9" s="97">
        <f>SUMPRODUCT(($K$13:$K$27&gt;TODAY()+1)*($F$13:$F$27&lt;&gt;"Արված"))</f>
        <v/>
      </c>
      <c r="N9" s="84" t="n"/>
      <c r="O9" s="1" t="n"/>
    </row>
    <row r="10" ht="20.1" customHeight="1" s="3">
      <c r="A10" s="1" t="n"/>
      <c r="B10" s="5" t="n"/>
      <c r="C10" s="38" t="inlineStr">
        <is>
          <t>ՈՒՇԱՑԱԾ</t>
        </is>
      </c>
      <c r="E10" s="84" t="n"/>
      <c r="F10" s="92" t="inlineStr">
        <is>
          <t>ԱՅՍՕՐ</t>
        </is>
      </c>
      <c r="H10" s="84" t="n"/>
      <c r="I10" s="98" t="inlineStr">
        <is>
          <t>ՎԱՂԸ</t>
        </is>
      </c>
      <c r="K10" s="84" t="n"/>
      <c r="L10" s="99" t="inlineStr">
        <is>
          <t>ԱՎԵԼԻ ՈՒՇ</t>
        </is>
      </c>
      <c r="N10" s="84" t="n"/>
      <c r="O10" s="1" t="n"/>
    </row>
    <row r="11" ht="15.95" customHeight="1" s="3" thickBot="1">
      <c r="A11" s="1" t="n"/>
      <c r="B11" s="5" t="n"/>
      <c r="C11" s="5" t="n"/>
      <c r="D11" s="5" t="n"/>
      <c r="E11" s="5" t="n"/>
      <c r="F11" s="5" t="n"/>
      <c r="G11" s="5" t="n"/>
      <c r="H11" s="5" t="n"/>
      <c r="I11" s="5" t="n"/>
      <c r="J11" s="5" t="n"/>
      <c r="K11" s="5" t="n"/>
      <c r="L11" s="5" t="n"/>
      <c r="M11" s="5" t="n"/>
      <c r="N11" s="5" t="n"/>
      <c r="O11" s="1" t="n"/>
    </row>
    <row r="12" ht="27.95" customHeight="1" s="3" thickBot="1">
      <c r="B12" s="79" t="inlineStr">
        <is>
          <t>№</t>
        </is>
      </c>
      <c r="C12" s="80" t="inlineStr">
        <is>
          <t>Առաջադրանք</t>
        </is>
      </c>
      <c r="D12" s="100" t="n"/>
      <c r="E12" s="100" t="n"/>
      <c r="F12" s="81" t="inlineStr">
        <is>
          <t>Կարգավիճակ</t>
        </is>
      </c>
      <c r="G12" s="80" t="inlineStr">
        <is>
          <t>Մեկնաբանությունը</t>
        </is>
      </c>
      <c r="H12" s="100" t="n"/>
      <c r="I12" s="100" t="n"/>
      <c r="J12" s="100" t="n"/>
      <c r="K12" s="81" t="inlineStr">
        <is>
          <t>Ժամկետ</t>
        </is>
      </c>
      <c r="L12" s="82" t="inlineStr">
        <is>
          <t>Պատասխանատու</t>
        </is>
      </c>
      <c r="M12" s="100" t="n"/>
      <c r="N12" s="101" t="n"/>
      <c r="O12" s="1" t="n"/>
    </row>
    <row r="13" ht="26.1" customHeight="1" s="3">
      <c r="B13" s="59" t="n">
        <v>1</v>
      </c>
      <c r="C13" s="68" t="inlineStr">
        <is>
          <t>Հաստիքացուցակ</t>
        </is>
      </c>
      <c r="D13" s="69" t="n"/>
      <c r="E13" s="69" t="n"/>
      <c r="F13" s="62" t="inlineStr">
        <is>
          <t>Արված</t>
        </is>
      </c>
      <c r="G13" s="69" t="n"/>
      <c r="H13" s="69" t="n"/>
      <c r="I13" s="69" t="n"/>
      <c r="J13" s="69" t="n"/>
      <c r="K13" s="102" t="n">
        <v>46272</v>
      </c>
      <c r="L13" s="70" t="inlineStr">
        <is>
          <t>—</t>
        </is>
      </c>
      <c r="M13" s="69" t="n"/>
      <c r="N13" s="69" t="n"/>
      <c r="O13" s="1" t="n"/>
    </row>
    <row r="14" ht="38.1" customHeight="1" s="3">
      <c r="B14" s="60" t="n">
        <v>2</v>
      </c>
      <c r="C14" s="71" t="inlineStr">
        <is>
          <t>Վաճառքի ռազմավարություն՝ բոլոր ուղղություններով, հինգշաբթի</t>
        </is>
      </c>
      <c r="D14" s="103" t="n"/>
      <c r="E14" s="103" t="n"/>
      <c r="F14" s="63" t="inlineStr">
        <is>
          <t>Ընթացքում</t>
        </is>
      </c>
      <c r="G14" s="72" t="inlineStr">
        <is>
          <t>Կարճաժամկետ ռազմավարությունը վաճառքի մասով կա, վաղը նայենք</t>
        </is>
      </c>
      <c r="H14" s="103" t="n"/>
      <c r="I14" s="103" t="n"/>
      <c r="J14" s="103" t="n"/>
      <c r="K14" s="104" t="n">
        <v>46275</v>
      </c>
      <c r="L14" s="73" t="inlineStr">
        <is>
          <t>Գև + Ռիչ</t>
        </is>
      </c>
      <c r="M14" s="103" t="n"/>
      <c r="N14" s="103" t="n"/>
      <c r="O14" s="1" t="n"/>
    </row>
    <row r="15" ht="38.1" customHeight="1" s="3">
      <c r="B15" s="60" t="n">
        <v>3</v>
      </c>
      <c r="C15" s="71" t="inlineStr">
        <is>
          <t>AI՝ որտեղ ինչ ես տեսնում</t>
        </is>
      </c>
      <c r="D15" s="103" t="n"/>
      <c r="E15" s="103" t="n"/>
      <c r="F15" s="63" t="inlineStr">
        <is>
          <t>Ընթացքում</t>
        </is>
      </c>
      <c r="G15" s="72" t="inlineStr">
        <is>
          <t>Բոլոր բաժինների մասով լիքը բան կարանք դնենք AI-ի վրա, պետքա որոշենք ովա հետևելու դրան։</t>
        </is>
      </c>
      <c r="H15" s="103" t="n"/>
      <c r="I15" s="103" t="n"/>
      <c r="J15" s="103" t="n"/>
      <c r="K15" s="104" t="n">
        <v>46275</v>
      </c>
      <c r="L15" s="73" t="inlineStr">
        <is>
          <t>Գև</t>
        </is>
      </c>
      <c r="M15" s="103" t="n"/>
      <c r="N15" s="103" t="n"/>
      <c r="O15" s="1" t="n"/>
    </row>
    <row r="16" ht="26.1" customHeight="1" s="3">
      <c r="B16" s="60" t="n">
        <v>4</v>
      </c>
      <c r="C16" s="71" t="inlineStr">
        <is>
          <t>Վերջնական հայեցակարգ՝ ամսի 15-ին</t>
        </is>
      </c>
      <c r="D16" s="103" t="n"/>
      <c r="E16" s="103" t="n"/>
      <c r="F16" s="63" t="inlineStr">
        <is>
          <t>Ընթացքում</t>
        </is>
      </c>
      <c r="G16" s="72" t="inlineStr">
        <is>
          <t>Ամսի 15-ին կտամ</t>
        </is>
      </c>
      <c r="H16" s="103" t="n"/>
      <c r="I16" s="103" t="n"/>
      <c r="J16" s="103" t="n"/>
      <c r="K16" s="104" t="n">
        <v>46280</v>
      </c>
      <c r="L16" s="73" t="inlineStr">
        <is>
          <t>Գև</t>
        </is>
      </c>
      <c r="M16" s="103" t="n"/>
      <c r="N16" s="103" t="n"/>
      <c r="O16" s="1" t="n"/>
    </row>
    <row r="17" ht="38.1" customHeight="1" s="3">
      <c r="B17" s="60" t="n">
        <v>5</v>
      </c>
      <c r="C17" s="71" t="inlineStr">
        <is>
          <t>Բիլինգի roadmap-ը ակտուա՞լ է. եթե ոչ՝ տալ սեփականը</t>
        </is>
      </c>
      <c r="D17" s="103" t="n"/>
      <c r="E17" s="103" t="n"/>
      <c r="F17" s="63" t="inlineStr">
        <is>
          <t>Ընթացքում</t>
        </is>
      </c>
      <c r="G17" s="72" t="inlineStr">
        <is>
          <t>Իմ քոմենթները արել եմ բիլինգի մասով, մնացածը ակտուալա, ու կապ չունի որ ուշացել ենք, եթե կպնենք կգանք դեդլայներին։</t>
        </is>
      </c>
      <c r="H17" s="103" t="n"/>
      <c r="I17" s="103" t="n"/>
      <c r="J17" s="103" t="n"/>
      <c r="K17" s="104" t="n">
        <v>46274</v>
      </c>
      <c r="L17" s="73" t="inlineStr">
        <is>
          <t>Գև → Գադուկյան</t>
        </is>
      </c>
      <c r="M17" s="103" t="n"/>
      <c r="N17" s="103" t="n"/>
      <c r="O17" s="1" t="n"/>
    </row>
    <row r="18" ht="66" customHeight="1" s="3">
      <c r="B18" s="60" t="n">
        <v>6</v>
      </c>
      <c r="C18" s="71" t="inlineStr">
        <is>
          <t>Միկրոբիլի ֆլոուից՝ կոնկրետ գործողությունների ցանկ, որ աշխատի</t>
        </is>
      </c>
      <c r="D18" s="103" t="n"/>
      <c r="E18" s="103" t="n"/>
      <c r="F18" s="63" t="inlineStr">
        <is>
          <t>Արված</t>
        </is>
      </c>
      <c r="G18" s="72" t="inlineStr">
        <is>
          <t>Ստեղ կարևորա որ բիլինգը ճիշտ սետափ արած լինի, ու դաշտերը ճիշտ լրացվեն, դրանից հետո մի հատ էքսելա պետք՝ մնացածը ֆիլտրելու ու ճիշտ ռեփորթ սարքելու հարցա, դա էլ կարանք ավտոմատացնենք</t>
        </is>
      </c>
      <c r="H18" s="103" t="n"/>
      <c r="I18" s="103" t="n"/>
      <c r="J18" s="103" t="n"/>
      <c r="K18" s="104" t="n"/>
      <c r="L18" s="73" t="inlineStr">
        <is>
          <t>Գև</t>
        </is>
      </c>
      <c r="M18" s="103" t="n"/>
      <c r="N18" s="103" t="n"/>
      <c r="O18" s="1" t="n"/>
    </row>
    <row r="19" ht="51.95" customHeight="1" s="3">
      <c r="B19" s="60" t="n">
        <v>7</v>
      </c>
      <c r="C19" s="71" t="inlineStr">
        <is>
          <t>4 ամսում ամսական 2% իջնելու հարցը — ԿՐԻՏԻԿԱԿԱՆԸ</t>
        </is>
      </c>
      <c r="D19" s="103" t="n"/>
      <c r="E19" s="103" t="n"/>
      <c r="F19" s="63" t="inlineStr">
        <is>
          <t>Ընթացքում</t>
        </is>
      </c>
      <c r="G19" s="72" t="inlineStr">
        <is>
          <t>Հենց հիմա բերել եմ կողքս, բացատրում եմ ինչա. կամ ես չեմ կարում բացատրեմ, կամ ինքը չի հասկանում։ Ասել եմ քո հետ շփվի, հասկանա, վաղը հստակ պատասխանով գա</t>
        </is>
      </c>
      <c r="H19" s="103" t="n"/>
      <c r="I19" s="103" t="n"/>
      <c r="J19" s="103" t="n"/>
      <c r="K19" s="104" t="n">
        <v>46275</v>
      </c>
      <c r="L19" s="73" t="inlineStr">
        <is>
          <t>Մագա → Գև</t>
        </is>
      </c>
      <c r="M19" s="103" t="n"/>
      <c r="N19" s="103" t="n"/>
      <c r="O19" s="1" t="n"/>
    </row>
    <row r="20" ht="38.1" customHeight="1" s="3">
      <c r="B20" s="60" t="n">
        <v>8</v>
      </c>
      <c r="C20" s="71" t="inlineStr">
        <is>
          <t>pros/cons՝ պահո՞ւմ ենք քո համակարգը</t>
        </is>
      </c>
      <c r="D20" s="103" t="n"/>
      <c r="E20" s="103" t="n"/>
      <c r="F20" s="63" t="inlineStr">
        <is>
          <t>Ընթացքում</t>
        </is>
      </c>
      <c r="G20" s="72" t="inlineStr">
        <is>
          <t>Հա, պահում ենք։ Ես հենց հիմա զուգահեռ քլինափ եմ անում դա, որ վերջնական տեսքի բերեմ</t>
        </is>
      </c>
      <c r="H20" s="103" t="n"/>
      <c r="I20" s="103" t="n"/>
      <c r="J20" s="103" t="n"/>
      <c r="K20" s="104" t="n">
        <v>46276</v>
      </c>
      <c r="L20" s="73" t="inlineStr">
        <is>
          <t>Գև</t>
        </is>
      </c>
      <c r="M20" s="103" t="n"/>
      <c r="N20" s="103" t="n"/>
      <c r="O20" s="1" t="n"/>
    </row>
    <row r="21" ht="38.1" customHeight="1" s="3">
      <c r="B21" s="60" t="n">
        <v>9</v>
      </c>
      <c r="C21" s="71" t="inlineStr">
        <is>
          <t>Իրավաբանական անձանց ՀՎՀՀ-ները ուղղել բիլինգում</t>
        </is>
      </c>
      <c r="D21" s="103" t="n"/>
      <c r="E21" s="103" t="n"/>
      <c r="F21" s="63" t="inlineStr">
        <is>
          <t>Արված</t>
        </is>
      </c>
      <c r="G21" s="72" t="inlineStr">
        <is>
          <t>Թասքը դրել եմ, հետևել եմ, ասելա էսօր մինչև 7-ը արած կլինի։ Առավոտ կստուգեմ</t>
        </is>
      </c>
      <c r="H21" s="103" t="n"/>
      <c r="I21" s="103" t="n"/>
      <c r="J21" s="103" t="n"/>
      <c r="K21" s="104" t="n">
        <v>46274</v>
      </c>
      <c r="L21" s="73" t="inlineStr">
        <is>
          <t>Մագա</t>
        </is>
      </c>
      <c r="M21" s="103" t="n"/>
      <c r="N21" s="103" t="n"/>
      <c r="O21" s="1" t="n"/>
    </row>
    <row r="22" ht="26.1" customHeight="1" s="3">
      <c r="B22" s="60" t="n">
        <v>10</v>
      </c>
      <c r="C22" s="71" t="inlineStr">
        <is>
          <t>Մագայի գործառույթների մանրամասն նկարագիրը</t>
        </is>
      </c>
      <c r="D22" s="103" t="n"/>
      <c r="E22" s="103" t="n"/>
      <c r="F22" s="63" t="inlineStr">
        <is>
          <t>Ընթացքում</t>
        </is>
      </c>
      <c r="G22" s="72" t="inlineStr">
        <is>
          <t>Ավելի մանր՝ ոնց ուզես, էլ էսօր կտա</t>
        </is>
      </c>
      <c r="H22" s="103" t="n"/>
      <c r="I22" s="103" t="n"/>
      <c r="J22" s="103" t="n"/>
      <c r="K22" s="104" t="n">
        <v>46274</v>
      </c>
      <c r="L22" s="73" t="inlineStr">
        <is>
          <t>Մագա → Գև</t>
        </is>
      </c>
      <c r="M22" s="103" t="n"/>
      <c r="N22" s="103" t="n"/>
      <c r="O22" s="1" t="n"/>
    </row>
    <row r="23" ht="80.09999999999999" customHeight="1" s="3">
      <c r="B23" s="60" t="n">
        <v>11</v>
      </c>
      <c r="C23" s="71" t="inlineStr">
        <is>
          <t>Պարզել՝ ինչու տեսուչները ծրագրով չեն օգտվում</t>
        </is>
      </c>
      <c r="D23" s="103" t="n"/>
      <c r="E23" s="103" t="n"/>
      <c r="F23" s="63" t="inlineStr">
        <is>
          <t>Ընթացքում</t>
        </is>
      </c>
      <c r="G23" s="72" t="inlineStr">
        <is>
          <t>Տեսուչներից մեկը անում է, մյուսը սխալներովա անում։ Ըստ Մագայի՝ հարցը էնա որ ծախսում են, հետո դնում տեղը։ Ասել եմ որ վաղվանից մենակ ծրագրով, բայց Մագան ասեց որ իրար հետ էլ եք խոսել ու 1-ից 1-ը դնելու հարց կա բիլինգը։ Սա քո դաշտումա, դու ասա</t>
        </is>
      </c>
      <c r="H23" s="103" t="n"/>
      <c r="I23" s="103" t="n"/>
      <c r="J23" s="103" t="n"/>
      <c r="K23" s="104" t="n">
        <v>46275</v>
      </c>
      <c r="L23" s="73" t="inlineStr">
        <is>
          <t>Գադուկյան</t>
        </is>
      </c>
      <c r="M23" s="103" t="n"/>
      <c r="N23" s="103" t="n"/>
      <c r="O23" s="1" t="n"/>
    </row>
    <row r="24" ht="38.1" customHeight="1" s="3">
      <c r="B24" s="60" t="n">
        <v>12</v>
      </c>
      <c r="C24" s="71" t="inlineStr">
        <is>
          <t>Retention flow-ը՝ Ռիչի վրա, և արտացոլել փաստաթղթում</t>
        </is>
      </c>
      <c r="D24" s="103" t="n"/>
      <c r="E24" s="103" t="n"/>
      <c r="F24" s="63" t="inlineStr">
        <is>
          <t>Ընթացքում</t>
        </is>
      </c>
      <c r="G24" s="72" t="inlineStr">
        <is>
          <t>Դեռ ինֆո չունեմ սրա մասով, աղջիկներին գրել եմ որ ինֆո տան</t>
        </is>
      </c>
      <c r="H24" s="103" t="n"/>
      <c r="I24" s="103" t="n"/>
      <c r="J24" s="103" t="n"/>
      <c r="K24" s="104" t="n">
        <v>46275</v>
      </c>
      <c r="L24" s="73" t="inlineStr">
        <is>
          <t>Անահիտ + Մագա → Գև</t>
        </is>
      </c>
      <c r="M24" s="103" t="n"/>
      <c r="N24" s="103" t="n"/>
      <c r="O24" s="1" t="n"/>
    </row>
    <row r="25" ht="38.1" customHeight="1" s="3">
      <c r="B25" s="60" t="n">
        <v>13</v>
      </c>
      <c r="C25" s="71" t="inlineStr">
        <is>
          <t>Retention-ի հետևման համակարգ</t>
        </is>
      </c>
      <c r="D25" s="103" t="n"/>
      <c r="E25" s="103" t="n"/>
      <c r="F25" s="63" t="inlineStr">
        <is>
          <t>Ընթացքում</t>
        </is>
      </c>
      <c r="G25" s="72" t="inlineStr">
        <is>
          <t>Դեռ բան չեմ արել։ Կմտածենք մի հատ պարզ ձև, որ հեշտ լինի համ անելը, համ հետևելը</t>
        </is>
      </c>
      <c r="H25" s="103" t="n"/>
      <c r="I25" s="103" t="n"/>
      <c r="J25" s="103" t="n"/>
      <c r="K25" s="104" t="n">
        <v>46276</v>
      </c>
      <c r="L25" s="73" t="inlineStr">
        <is>
          <t>Գև</t>
        </is>
      </c>
      <c r="M25" s="103" t="n"/>
      <c r="N25" s="103" t="n"/>
      <c r="O25" s="1" t="n"/>
    </row>
    <row r="26" ht="26.1" customHeight="1" s="3">
      <c r="B26" s="60" t="n">
        <v>14</v>
      </c>
      <c r="C26" s="71" t="inlineStr">
        <is>
          <t>Չըռնի ռիսկի սիգնալները վերանայել</t>
        </is>
      </c>
      <c r="D26" s="103" t="n"/>
      <c r="E26" s="103" t="n"/>
      <c r="F26" s="63" t="inlineStr">
        <is>
          <t>Ընթացքում</t>
        </is>
      </c>
      <c r="G26" s="72" t="inlineStr">
        <is>
          <t>Վաղը թիմը կտա, կուղարկեմ</t>
        </is>
      </c>
      <c r="H26" s="103" t="n"/>
      <c r="I26" s="103" t="n"/>
      <c r="J26" s="103" t="n"/>
      <c r="K26" s="104" t="n">
        <v>46275</v>
      </c>
      <c r="L26" s="73" t="inlineStr">
        <is>
          <t>Թիմ → Գև</t>
        </is>
      </c>
      <c r="M26" s="103" t="n"/>
      <c r="N26" s="103" t="n"/>
      <c r="O26" s="1" t="n"/>
    </row>
    <row r="27" ht="26.1" customHeight="1" s="3">
      <c r="B27" s="61" t="n">
        <v>15</v>
      </c>
      <c r="C27" s="74" t="inlineStr">
        <is>
          <t>save-list-ը մշակել Անահիտի և Մագայի հետ</t>
        </is>
      </c>
      <c r="D27" s="105" t="n"/>
      <c r="E27" s="105" t="n"/>
      <c r="F27" s="64" t="inlineStr">
        <is>
          <t>Ընթացքում</t>
        </is>
      </c>
      <c r="G27" s="75" t="inlineStr">
        <is>
          <t>Երկուշաբթի ստարտը կտանք</t>
        </is>
      </c>
      <c r="H27" s="105" t="n"/>
      <c r="I27" s="105" t="n"/>
      <c r="J27" s="105" t="n"/>
      <c r="K27" s="106" t="n">
        <v>46279</v>
      </c>
      <c r="L27" s="76" t="inlineStr">
        <is>
          <t>Գև + Անահիտ + Մագա</t>
        </is>
      </c>
      <c r="M27" s="105" t="n"/>
      <c r="N27" s="105" t="n"/>
      <c r="O27" s="1" t="n"/>
    </row>
    <row r="28" ht="12" customHeight="1" s="3">
      <c r="B28" t="n">
        <v>16</v>
      </c>
      <c r="C28" t="inlineStr">
        <is>
          <t>TEST — Deputy live write certification (delete after)</t>
        </is>
      </c>
      <c r="F28" t="inlineStr">
        <is>
          <t>Չսկսված</t>
        </is>
      </c>
      <c r="G28" t="inlineStr">
        <is>
          <t>Mission 4.2 live certification · harmless · Gev-approved · cleanup = close/remove this row</t>
        </is>
      </c>
      <c r="K28" s="107" t="n">
        <v>46277</v>
      </c>
      <c r="L28" t="inlineStr">
        <is>
          <t>Գև</t>
        </is>
      </c>
      <c r="O28" s="1" t="n"/>
    </row>
    <row r="29" ht="33.95" customHeight="1" s="3">
      <c r="B29" s="77" t="inlineStr">
        <is>
          <t>Կետ 6-ը «Արված» է, բայց մեկնաբանությունը չորս նոր պայման կա, դրանք նայի Գև ջան ։</t>
        </is>
      </c>
      <c r="O29" s="1" t="n"/>
    </row>
    <row r="30">
      <c r="A30" s="1" t="n"/>
      <c r="B30" s="1" t="n"/>
      <c r="C30" s="1" t="n"/>
      <c r="D30" s="1" t="n"/>
      <c r="E30" s="1" t="n"/>
      <c r="F30" s="1" t="n"/>
      <c r="G30" s="1" t="n"/>
      <c r="H30" s="1" t="n"/>
      <c r="I30" s="1" t="n"/>
      <c r="J30" s="1" t="n"/>
      <c r="K30" s="1" t="n"/>
      <c r="L30" s="1" t="n"/>
      <c r="M30" s="1" t="n"/>
      <c r="N30" s="1" t="n"/>
      <c r="O30" s="1" t="n"/>
    </row>
    <row r="31">
      <c r="A31" s="1" t="n"/>
      <c r="B31" s="1" t="n"/>
      <c r="C31" s="1" t="n"/>
      <c r="D31" s="1" t="n"/>
      <c r="E31" s="1" t="n"/>
      <c r="F31" s="1" t="n"/>
      <c r="G31" s="1" t="n"/>
      <c r="H31" s="1" t="n"/>
      <c r="I31" s="1" t="n"/>
      <c r="J31" s="1" t="n"/>
      <c r="K31" s="1" t="n"/>
      <c r="L31" s="1" t="n"/>
      <c r="M31" s="1" t="n"/>
      <c r="N31" s="1" t="n"/>
      <c r="O31" s="1" t="n"/>
    </row>
    <row r="32">
      <c r="A32" s="1" t="n"/>
      <c r="B32" s="1" t="n"/>
      <c r="C32" s="1" t="n"/>
      <c r="D32" s="1" t="n"/>
      <c r="E32" s="1" t="n"/>
      <c r="F32" s="1" t="n"/>
      <c r="G32" s="1" t="n"/>
      <c r="H32" s="1" t="n"/>
      <c r="I32" s="1" t="n"/>
      <c r="J32" s="1" t="n"/>
      <c r="K32" s="1" t="n"/>
      <c r="L32" s="1" t="n"/>
      <c r="M32" s="1" t="n"/>
      <c r="N32" s="1" t="n"/>
      <c r="O32" s="1" t="n"/>
    </row>
    <row r="33">
      <c r="A33" s="1" t="n"/>
      <c r="B33" s="1" t="n"/>
      <c r="C33" s="1" t="n"/>
      <c r="D33" s="1" t="n"/>
      <c r="E33" s="1" t="n"/>
      <c r="F33" s="1" t="n"/>
      <c r="G33" s="1" t="n"/>
      <c r="H33" s="1" t="n"/>
      <c r="I33" s="1" t="n"/>
      <c r="J33" s="1" t="n"/>
      <c r="K33" s="1" t="n"/>
      <c r="L33" s="1" t="n"/>
      <c r="M33" s="1" t="n"/>
      <c r="N33" s="1" t="n"/>
      <c r="O33" s="1" t="n"/>
    </row>
    <row r="34">
      <c r="A34" s="1" t="n"/>
      <c r="B34" s="1" t="n"/>
      <c r="C34" s="1" t="n"/>
      <c r="D34" s="1" t="n"/>
      <c r="E34" s="1" t="n"/>
      <c r="F34" s="1" t="n"/>
      <c r="G34" s="1" t="n"/>
      <c r="H34" s="1" t="n"/>
      <c r="I34" s="1" t="n"/>
      <c r="J34" s="1" t="n"/>
      <c r="K34" s="1" t="n"/>
      <c r="L34" s="1" t="n"/>
      <c r="M34" s="1" t="n"/>
      <c r="N34" s="1" t="n"/>
      <c r="O34" s="1" t="n"/>
    </row>
    <row r="35">
      <c r="A35" s="1" t="n"/>
      <c r="B35" s="1" t="n"/>
      <c r="C35" s="1" t="n"/>
      <c r="D35" s="1" t="n"/>
      <c r="E35" s="1" t="n"/>
      <c r="F35" s="1" t="n"/>
      <c r="G35" s="1" t="n"/>
      <c r="H35" s="1" t="n"/>
      <c r="I35" s="1" t="n"/>
      <c r="J35" s="1" t="n"/>
      <c r="K35" s="1" t="n"/>
      <c r="L35" s="1" t="n"/>
      <c r="M35" s="1" t="n"/>
      <c r="N35" s="1" t="n"/>
      <c r="O35" s="1" t="n"/>
    </row>
    <row r="36">
      <c r="A36" s="1" t="n"/>
      <c r="B36" s="1" t="n"/>
      <c r="C36" s="1" t="n"/>
      <c r="D36" s="1" t="n"/>
      <c r="E36" s="1" t="n"/>
      <c r="F36" s="1" t="n"/>
      <c r="G36" s="1" t="n"/>
      <c r="H36" s="1" t="n"/>
      <c r="I36" s="1" t="n"/>
      <c r="J36" s="1" t="n"/>
      <c r="K36" s="1" t="n"/>
      <c r="L36" s="1" t="n"/>
      <c r="M36" s="1" t="n"/>
      <c r="N36" s="1" t="n"/>
      <c r="O36" s="1" t="n"/>
    </row>
    <row r="37">
      <c r="A37" s="1" t="n"/>
      <c r="B37" s="1" t="n"/>
      <c r="C37" s="1" t="n"/>
      <c r="D37" s="1" t="n"/>
      <c r="E37" s="1" t="n"/>
      <c r="F37" s="1" t="n"/>
      <c r="G37" s="1" t="n"/>
      <c r="H37" s="1" t="n"/>
      <c r="I37" s="1" t="n"/>
      <c r="J37" s="1" t="n"/>
      <c r="K37" s="1" t="n"/>
      <c r="L37" s="1" t="n"/>
      <c r="M37" s="1" t="n"/>
      <c r="N37" s="1" t="n"/>
      <c r="O37" s="1" t="n"/>
    </row>
    <row r="38">
      <c r="A38" s="1" t="n"/>
      <c r="B38" s="1" t="n"/>
      <c r="C38" s="1" t="n"/>
      <c r="D38" s="1" t="n"/>
      <c r="E38" s="1" t="n"/>
      <c r="F38" s="1" t="n"/>
      <c r="G38" s="1" t="n"/>
      <c r="H38" s="1" t="n"/>
      <c r="I38" s="1" t="n"/>
      <c r="J38" s="1" t="n"/>
      <c r="K38" s="1" t="n"/>
      <c r="L38" s="1" t="n"/>
      <c r="M38" s="1" t="n"/>
      <c r="N38" s="1" t="n"/>
      <c r="O38" s="1" t="n"/>
    </row>
    <row r="39">
      <c r="A39" s="1" t="n"/>
      <c r="B39" s="1" t="n"/>
      <c r="C39" s="1" t="n"/>
      <c r="D39" s="1" t="n"/>
      <c r="E39" s="1" t="n"/>
      <c r="F39" s="1" t="n"/>
      <c r="G39" s="1" t="n"/>
      <c r="H39" s="1" t="n"/>
      <c r="I39" s="1" t="n"/>
      <c r="J39" s="1" t="n"/>
      <c r="K39" s="1" t="n"/>
      <c r="L39" s="1" t="n"/>
      <c r="M39" s="1" t="n"/>
      <c r="N39" s="1" t="n"/>
      <c r="O39" s="1" t="n"/>
    </row>
    <row r="40">
      <c r="A40" s="1" t="n"/>
      <c r="B40" s="1" t="n"/>
      <c r="C40" s="1" t="n"/>
      <c r="D40" s="1" t="n"/>
      <c r="E40" s="1" t="n"/>
      <c r="F40" s="1" t="n"/>
      <c r="G40" s="1" t="n"/>
      <c r="H40" s="1" t="n"/>
      <c r="I40" s="1" t="n"/>
      <c r="J40" s="1" t="n"/>
      <c r="K40" s="1" t="n"/>
      <c r="L40" s="1" t="n"/>
      <c r="M40" s="1" t="n"/>
      <c r="N40" s="1" t="n"/>
      <c r="O40" s="1" t="n"/>
    </row>
    <row r="41">
      <c r="A41" s="1" t="n"/>
      <c r="B41" s="1" t="n"/>
      <c r="C41" s="1" t="n"/>
      <c r="D41" s="1" t="n"/>
      <c r="E41" s="1" t="n"/>
      <c r="F41" s="1" t="n"/>
      <c r="G41" s="1" t="n"/>
      <c r="H41" s="1" t="n"/>
      <c r="I41" s="1" t="n"/>
      <c r="J41" s="1" t="n"/>
      <c r="K41" s="1" t="n"/>
      <c r="L41" s="1" t="n"/>
      <c r="M41" s="1" t="n"/>
      <c r="N41" s="1" t="n"/>
      <c r="O41" s="1" t="n"/>
    </row>
    <row r="42">
      <c r="A42" s="1" t="n"/>
      <c r="B42" s="1" t="n"/>
      <c r="C42" s="1" t="n"/>
      <c r="D42" s="1" t="n"/>
      <c r="E42" s="1" t="n"/>
      <c r="F42" s="1" t="n"/>
      <c r="G42" s="1" t="n"/>
      <c r="H42" s="1" t="n"/>
      <c r="I42" s="1" t="n"/>
      <c r="J42" s="1" t="n"/>
      <c r="K42" s="1" t="n"/>
      <c r="L42" s="1" t="n"/>
      <c r="M42" s="1" t="n"/>
      <c r="N42" s="1" t="n"/>
      <c r="O42" s="1" t="n"/>
    </row>
    <row r="43">
      <c r="A43" s="1" t="n"/>
      <c r="B43" s="1" t="n"/>
      <c r="C43" s="1" t="n"/>
      <c r="D43" s="1" t="n"/>
      <c r="E43" s="1" t="n"/>
      <c r="F43" s="1" t="n"/>
      <c r="G43" s="1" t="n"/>
      <c r="H43" s="1" t="n"/>
      <c r="I43" s="1" t="n"/>
      <c r="J43" s="1" t="n"/>
      <c r="K43" s="1" t="n"/>
      <c r="L43" s="1" t="n"/>
      <c r="M43" s="1" t="n"/>
      <c r="N43" s="1" t="n"/>
      <c r="O43" s="1" t="n"/>
    </row>
    <row r="44">
      <c r="A44" s="1" t="n"/>
      <c r="B44" s="1" t="n"/>
      <c r="C44" s="1" t="n"/>
      <c r="D44" s="1" t="n"/>
      <c r="E44" s="1" t="n"/>
      <c r="F44" s="1" t="n"/>
      <c r="G44" s="1" t="n"/>
      <c r="H44" s="1" t="n"/>
      <c r="I44" s="1" t="n"/>
      <c r="J44" s="1" t="n"/>
      <c r="K44" s="1" t="n"/>
      <c r="L44" s="1" t="n"/>
      <c r="M44" s="1" t="n"/>
      <c r="N44" s="1" t="n"/>
      <c r="O44" s="1" t="n"/>
    </row>
    <row r="45">
      <c r="A45" s="1" t="n"/>
      <c r="B45" s="1" t="n"/>
      <c r="C45" s="1" t="n"/>
      <c r="D45" s="1" t="n"/>
      <c r="E45" s="1" t="n"/>
      <c r="F45" s="1" t="n"/>
      <c r="G45" s="1" t="n"/>
      <c r="H45" s="1" t="n"/>
      <c r="I45" s="1" t="n"/>
      <c r="J45" s="1" t="n"/>
      <c r="K45" s="1" t="n"/>
      <c r="L45" s="1" t="n"/>
      <c r="M45" s="1" t="n"/>
      <c r="N45" s="1" t="n"/>
      <c r="O45" s="1" t="n"/>
    </row>
    <row r="46">
      <c r="A46" s="1" t="n"/>
      <c r="B46" s="1" t="n"/>
      <c r="C46" s="1" t="n"/>
      <c r="D46" s="1" t="n"/>
      <c r="E46" s="1" t="n"/>
      <c r="F46" s="1" t="n"/>
      <c r="G46" s="1" t="n"/>
      <c r="H46" s="1" t="n"/>
      <c r="I46" s="1" t="n"/>
      <c r="J46" s="1" t="n"/>
      <c r="K46" s="1" t="n"/>
      <c r="L46" s="1" t="n"/>
      <c r="M46" s="1" t="n"/>
      <c r="N46" s="1" t="n"/>
      <c r="O46" s="1" t="n"/>
    </row>
    <row r="47">
      <c r="A47" s="1" t="n"/>
      <c r="B47" s="1" t="n"/>
      <c r="C47" s="1" t="n"/>
      <c r="D47" s="1" t="n"/>
      <c r="E47" s="1" t="n"/>
      <c r="F47" s="1" t="n"/>
      <c r="G47" s="1" t="n"/>
      <c r="H47" s="1" t="n"/>
      <c r="I47" s="1" t="n"/>
      <c r="J47" s="1" t="n"/>
      <c r="K47" s="1" t="n"/>
      <c r="L47" s="1" t="n"/>
      <c r="M47" s="1" t="n"/>
      <c r="N47" s="1" t="n"/>
      <c r="O47" s="1" t="n"/>
    </row>
    <row r="48">
      <c r="A48" s="1" t="n"/>
      <c r="B48" s="1" t="n"/>
      <c r="C48" s="1" t="n"/>
      <c r="D48" s="1" t="n"/>
      <c r="E48" s="1" t="n"/>
      <c r="F48" s="1" t="n"/>
      <c r="G48" s="1" t="n"/>
      <c r="H48" s="1" t="n"/>
      <c r="I48" s="1" t="n"/>
      <c r="J48" s="1" t="n"/>
      <c r="K48" s="1" t="n"/>
      <c r="L48" s="1" t="n"/>
      <c r="M48" s="1" t="n"/>
      <c r="N48" s="1" t="n"/>
      <c r="O48" s="1" t="n"/>
    </row>
    <row r="49">
      <c r="A49" s="1" t="n"/>
      <c r="B49" s="1" t="n"/>
      <c r="C49" s="1" t="n"/>
      <c r="D49" s="1" t="n"/>
      <c r="E49" s="1" t="n"/>
      <c r="F49" s="1" t="n"/>
      <c r="G49" s="1" t="n"/>
      <c r="H49" s="1" t="n"/>
      <c r="I49" s="1" t="n"/>
      <c r="J49" s="1" t="n"/>
      <c r="K49" s="1" t="n"/>
      <c r="L49" s="1" t="n"/>
      <c r="M49" s="1" t="n"/>
      <c r="N49" s="1" t="n"/>
      <c r="O49" s="1" t="n"/>
    </row>
    <row r="50">
      <c r="A50" s="1" t="n"/>
      <c r="B50" s="1" t="n"/>
      <c r="C50" s="1" t="n"/>
      <c r="D50" s="1" t="n"/>
      <c r="E50" s="1" t="n"/>
      <c r="F50" s="1" t="n"/>
      <c r="G50" s="1" t="n"/>
      <c r="H50" s="1" t="n"/>
      <c r="I50" s="1" t="n"/>
      <c r="J50" s="1" t="n"/>
      <c r="K50" s="1" t="n"/>
      <c r="L50" s="1" t="n"/>
      <c r="M50" s="1" t="n"/>
      <c r="N50" s="1" t="n"/>
      <c r="O50" s="1" t="n"/>
    </row>
    <row r="51">
      <c r="A51" s="1" t="n"/>
      <c r="B51" s="1" t="n"/>
      <c r="C51" s="1" t="n"/>
      <c r="D51" s="1" t="n"/>
      <c r="E51" s="1" t="n"/>
      <c r="F51" s="1" t="n"/>
      <c r="G51" s="1" t="n"/>
      <c r="H51" s="1" t="n"/>
      <c r="I51" s="1" t="n"/>
      <c r="J51" s="1" t="n"/>
      <c r="K51" s="1" t="n"/>
      <c r="L51" s="1" t="n"/>
      <c r="M51" s="1" t="n"/>
      <c r="N51" s="1" t="n"/>
      <c r="O51" s="1" t="n"/>
    </row>
    <row r="52">
      <c r="A52" s="1" t="n"/>
      <c r="B52" s="1" t="n"/>
      <c r="C52" s="1" t="n"/>
      <c r="D52" s="1" t="n"/>
      <c r="E52" s="1" t="n"/>
      <c r="F52" s="1" t="n"/>
      <c r="G52" s="1" t="n"/>
      <c r="H52" s="1" t="n"/>
      <c r="I52" s="1" t="n"/>
      <c r="J52" s="1" t="n"/>
      <c r="K52" s="1" t="n"/>
      <c r="L52" s="1" t="n"/>
      <c r="M52" s="1" t="n"/>
      <c r="N52" s="1" t="n"/>
      <c r="O52" s="1" t="n"/>
    </row>
    <row r="53">
      <c r="A53" s="1" t="n"/>
      <c r="B53" s="1" t="n"/>
      <c r="C53" s="1" t="n"/>
      <c r="D53" s="1" t="n"/>
      <c r="E53" s="1" t="n"/>
      <c r="F53" s="1" t="n"/>
      <c r="G53" s="1" t="n"/>
      <c r="H53" s="1" t="n"/>
      <c r="I53" s="1" t="n"/>
      <c r="J53" s="1" t="n"/>
      <c r="K53" s="1" t="n"/>
      <c r="L53" s="1" t="n"/>
      <c r="M53" s="1" t="n"/>
      <c r="N53" s="1" t="n"/>
      <c r="O53" s="1" t="n"/>
    </row>
    <row r="54">
      <c r="A54" s="1" t="n"/>
      <c r="B54" s="1" t="n"/>
      <c r="C54" s="1" t="n"/>
      <c r="D54" s="1" t="n"/>
      <c r="E54" s="1" t="n"/>
      <c r="F54" s="1" t="n"/>
      <c r="G54" s="1" t="n"/>
      <c r="H54" s="1" t="n"/>
      <c r="I54" s="1" t="n"/>
      <c r="J54" s="1" t="n"/>
      <c r="K54" s="1" t="n"/>
      <c r="L54" s="1" t="n"/>
      <c r="M54" s="1" t="n"/>
      <c r="N54" s="1" t="n"/>
      <c r="O54" s="1" t="n"/>
    </row>
    <row r="55">
      <c r="A55" s="1" t="n"/>
      <c r="B55" s="1" t="n"/>
      <c r="C55" s="1" t="n"/>
      <c r="D55" s="1" t="n"/>
      <c r="E55" s="1" t="n"/>
      <c r="F55" s="1" t="n"/>
      <c r="G55" s="1" t="n"/>
      <c r="H55" s="1" t="n"/>
      <c r="I55" s="1" t="n"/>
      <c r="J55" s="1" t="n"/>
      <c r="K55" s="1" t="n"/>
      <c r="L55" s="1" t="n"/>
      <c r="M55" s="1" t="n"/>
      <c r="N55" s="1" t="n"/>
      <c r="O55" s="1" t="n"/>
    </row>
  </sheetData>
  <mergeCells count="74">
    <mergeCell ref="C16:E16"/>
    <mergeCell ref="L15:N15"/>
    <mergeCell ref="L24:N24"/>
    <mergeCell ref="F5:H5"/>
    <mergeCell ref="G26:J26"/>
    <mergeCell ref="L18:N18"/>
    <mergeCell ref="L14:N14"/>
    <mergeCell ref="L5:N5"/>
    <mergeCell ref="G20:J20"/>
    <mergeCell ref="C9:E9"/>
    <mergeCell ref="F8:H8"/>
    <mergeCell ref="L8:N8"/>
    <mergeCell ref="C22:E22"/>
    <mergeCell ref="L23:N23"/>
    <mergeCell ref="G16:J16"/>
    <mergeCell ref="L4:N4"/>
    <mergeCell ref="C21:E21"/>
    <mergeCell ref="L26:N26"/>
    <mergeCell ref="C12:E12"/>
    <mergeCell ref="G25:J25"/>
    <mergeCell ref="L20:N20"/>
    <mergeCell ref="G22:J22"/>
    <mergeCell ref="L25:N25"/>
    <mergeCell ref="C27:E27"/>
    <mergeCell ref="L10:N10"/>
    <mergeCell ref="I5:K5"/>
    <mergeCell ref="C23:E23"/>
    <mergeCell ref="L22:N22"/>
    <mergeCell ref="C8:E8"/>
    <mergeCell ref="I8:K8"/>
    <mergeCell ref="G12:J12"/>
    <mergeCell ref="L9:N9"/>
    <mergeCell ref="C17:E17"/>
    <mergeCell ref="G21:J21"/>
    <mergeCell ref="I4:K4"/>
    <mergeCell ref="F9:H9"/>
    <mergeCell ref="L6:N6"/>
    <mergeCell ref="G27:J27"/>
    <mergeCell ref="L21:N21"/>
    <mergeCell ref="I10:K10"/>
    <mergeCell ref="C13:E13"/>
    <mergeCell ref="G17:J17"/>
    <mergeCell ref="C19:E19"/>
    <mergeCell ref="G23:J23"/>
    <mergeCell ref="L27:N27"/>
    <mergeCell ref="I9:K9"/>
    <mergeCell ref="C18:E18"/>
    <mergeCell ref="F4:H4"/>
    <mergeCell ref="L17:N17"/>
    <mergeCell ref="C15:E15"/>
    <mergeCell ref="G19:J19"/>
    <mergeCell ref="C6:E6"/>
    <mergeCell ref="I6:K6"/>
    <mergeCell ref="C24:E24"/>
    <mergeCell ref="F10:H10"/>
    <mergeCell ref="G13:J13"/>
    <mergeCell ref="G18:J18"/>
    <mergeCell ref="C14:E14"/>
    <mergeCell ref="F6:H6"/>
    <mergeCell ref="C5:E5"/>
    <mergeCell ref="L16:N16"/>
    <mergeCell ref="B1:N1"/>
    <mergeCell ref="C10:E10"/>
    <mergeCell ref="L13:N13"/>
    <mergeCell ref="L19:N19"/>
    <mergeCell ref="C4:E4"/>
    <mergeCell ref="G24:J24"/>
    <mergeCell ref="C26:E26"/>
    <mergeCell ref="B29:N29"/>
    <mergeCell ref="L12:N12"/>
    <mergeCell ref="G15:J15"/>
    <mergeCell ref="C20:E20"/>
    <mergeCell ref="C25:E25"/>
    <mergeCell ref="G14:J14"/>
  </mergeCells>
  <conditionalFormatting sqref="F13:F27">
    <cfRule type="containsText" priority="1" operator="containsText" dxfId="4" text="Արված">
      <formula>NOT(ISERROR(SEARCH("Արված",F13)))</formula>
    </cfRule>
    <cfRule type="containsText" priority="2" operator="containsText" dxfId="3" text="Ընթացքում">
      <formula>NOT(ISERROR(SEARCH("Ընթացքում",F13)))</formula>
    </cfRule>
    <cfRule type="containsText" priority="3" operator="containsText" dxfId="2" text="Չսկսված">
      <formula>NOT(ISERROR(SEARCH("Չսկսված",F13)))</formula>
    </cfRule>
  </conditionalFormatting>
  <conditionalFormatting sqref="K13:K27">
    <cfRule type="expression" priority="4" dxfId="1">
      <formula>AND($K13&lt;&gt;"",$K13&lt;TODAY(),$F13&lt;&gt;"Արված")</formula>
    </cfRule>
    <cfRule type="expression" priority="5" dxfId="0">
      <formula>AND($K13=TODAY(),$F13&lt;&gt;"Արված")</formula>
    </cfRule>
  </conditionalFormatting>
  <dataValidations count="1">
    <dataValidation sqref="F13:F27" showDropDown="0" showInputMessage="0" showErrorMessage="0" allowBlank="1" type="list">
      <formula1>"Արված,Ընթացքում,Չսկսված,Պարզ չէ"</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2026-09-09T14:45:08Z</dcterms:created>
  <dcterms:modified xmlns:dcterms="http://purl.org/dc/terms/" xmlns:xsi="http://www.w3.org/2001/XMLSchema-instance" xsi:type="dcterms:W3CDTF">2026-09-11T22:06:07Z</dcterms:modified>
  <cp:lastModifiedBy>Admin</cp:lastModifiedBy>
</cp:coreProperties>
</file>