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7BA77E2-CD36-4809-B802-E03912C2D32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Ամփոփ պատկեր" sheetId="1" r:id="rId1"/>
    <sheet name="Կառուցվածք և աշխատավարձ" sheetId="2" r:id="rId2"/>
    <sheet name="Մոդելներ և պարտադիր վճարներ" sheetId="3" r:id="rId3"/>
    <sheet name="KPI" sheetId="4" r:id="rId4"/>
  </sheets>
  <definedNames>
    <definedName name="D2D_Միացումներ">#REF!</definedName>
    <definedName name="D2D_Սակագին">#REF!</definedName>
    <definedName name="D2D_Տոկոս">#REF!</definedName>
    <definedName name="Առաջնահերթ_Ցանկ">#REF!</definedName>
    <definedName name="Առողջ_Գումար">#REF!</definedName>
    <definedName name="Աստիճան_Բոնուս">#REF!</definedName>
    <definedName name="Աստիճան_Շեմ">#REF!</definedName>
    <definedName name="Բաժինների_Ցանկ">#REF!</definedName>
    <definedName name="Դրոշմ_Գումար">#REF!</definedName>
    <definedName name="Դրոշմ_Զուտ_Սահման">#REF!</definedName>
    <definedName name="Եկամտային_Հարկ">#REF!</definedName>
    <definedName name="Կուտակային">#REF!</definedName>
    <definedName name="Հարկ_Գործակից">#REF!</definedName>
    <definedName name="Մոդելների_Ցանկ">#REF!</definedName>
    <definedName name="Պաշտոնների_Ցանկ">KPI!$C$14:$C$44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1" i="3" l="1"/>
  <c r="F70" i="3"/>
  <c r="F69" i="3"/>
  <c r="F68" i="3"/>
  <c r="F67" i="3"/>
  <c r="C59" i="3"/>
  <c r="C30" i="3"/>
  <c r="F30" i="3" s="1"/>
  <c r="C29" i="3"/>
  <c r="F29" i="3" s="1"/>
  <c r="F28" i="3"/>
  <c r="E28" i="3"/>
  <c r="G28" i="3" s="1"/>
  <c r="D28" i="3"/>
  <c r="C28" i="3"/>
  <c r="C27" i="3"/>
  <c r="D27" i="3" s="1"/>
  <c r="F26" i="3"/>
  <c r="E26" i="3"/>
  <c r="G26" i="3" s="1"/>
  <c r="D26" i="3"/>
  <c r="F21" i="3"/>
  <c r="G21" i="3" s="1"/>
  <c r="E21" i="3"/>
  <c r="C21" i="3"/>
  <c r="D21" i="3" s="1"/>
  <c r="F20" i="3"/>
  <c r="E20" i="3"/>
  <c r="G20" i="3" s="1"/>
  <c r="D20" i="3"/>
  <c r="C20" i="3"/>
  <c r="F19" i="3"/>
  <c r="C19" i="3"/>
  <c r="E19" i="3" s="1"/>
  <c r="G19" i="3" s="1"/>
  <c r="F18" i="3"/>
  <c r="C18" i="3"/>
  <c r="E18" i="3" s="1"/>
  <c r="G18" i="3" s="1"/>
  <c r="F17" i="3"/>
  <c r="G17" i="3" s="1"/>
  <c r="E17" i="3"/>
  <c r="C17" i="3"/>
  <c r="D17" i="3" s="1"/>
  <c r="F16" i="3"/>
  <c r="E16" i="3"/>
  <c r="G16" i="3" s="1"/>
  <c r="D16" i="3"/>
  <c r="C16" i="3"/>
  <c r="J53" i="2"/>
  <c r="G53" i="2"/>
  <c r="F53" i="2"/>
  <c r="AC52" i="2"/>
  <c r="AB52" i="2"/>
  <c r="AA52" i="2"/>
  <c r="Z52" i="2"/>
  <c r="Y52" i="2"/>
  <c r="X52" i="2"/>
  <c r="W52" i="2"/>
  <c r="V52" i="2"/>
  <c r="U52" i="2"/>
  <c r="T52" i="2"/>
  <c r="S52" i="2"/>
  <c r="R52" i="2"/>
  <c r="P52" i="2"/>
  <c r="O52" i="2"/>
  <c r="Q52" i="2" s="1"/>
  <c r="N52" i="2"/>
  <c r="M52" i="2"/>
  <c r="L52" i="2"/>
  <c r="K52" i="2"/>
  <c r="H52" i="2"/>
  <c r="AC51" i="2"/>
  <c r="AB51" i="2"/>
  <c r="AB53" i="2" s="1"/>
  <c r="M35" i="1" s="1"/>
  <c r="AA51" i="2"/>
  <c r="AA53" i="2" s="1"/>
  <c r="K35" i="1" s="1"/>
  <c r="Z51" i="2"/>
  <c r="Z53" i="2" s="1"/>
  <c r="Y51" i="2"/>
  <c r="Y53" i="2" s="1"/>
  <c r="X51" i="2"/>
  <c r="X53" i="2" s="1"/>
  <c r="W51" i="2"/>
  <c r="W53" i="2" s="1"/>
  <c r="L35" i="1" s="1"/>
  <c r="V51" i="2"/>
  <c r="V53" i="2" s="1"/>
  <c r="J35" i="1" s="1"/>
  <c r="U51" i="2"/>
  <c r="U53" i="2" s="1"/>
  <c r="T51" i="2"/>
  <c r="T53" i="2" s="1"/>
  <c r="S51" i="2"/>
  <c r="S53" i="2" s="1"/>
  <c r="R51" i="2"/>
  <c r="P51" i="2"/>
  <c r="P53" i="2" s="1"/>
  <c r="H35" i="1" s="1"/>
  <c r="O51" i="2"/>
  <c r="O53" i="2" s="1"/>
  <c r="N51" i="2"/>
  <c r="N53" i="2" s="1"/>
  <c r="M51" i="2"/>
  <c r="M53" i="2" s="1"/>
  <c r="L51" i="2"/>
  <c r="L53" i="2" s="1"/>
  <c r="K51" i="2"/>
  <c r="K53" i="2" s="1"/>
  <c r="H51" i="2"/>
  <c r="H53" i="2" s="1"/>
  <c r="F35" i="1" s="1"/>
  <c r="J48" i="2"/>
  <c r="G48" i="2"/>
  <c r="F48" i="2"/>
  <c r="AC47" i="2"/>
  <c r="W47" i="2"/>
  <c r="AB47" i="2" s="1"/>
  <c r="V47" i="2"/>
  <c r="AA47" i="2" s="1"/>
  <c r="U47" i="2"/>
  <c r="Z47" i="2" s="1"/>
  <c r="T47" i="2"/>
  <c r="Y47" i="2" s="1"/>
  <c r="S47" i="2"/>
  <c r="X47" i="2" s="1"/>
  <c r="R47" i="2"/>
  <c r="P47" i="2"/>
  <c r="N47" i="2"/>
  <c r="M47" i="2"/>
  <c r="O47" i="2" s="1"/>
  <c r="H47" i="2"/>
  <c r="AC46" i="2"/>
  <c r="Z46" i="2"/>
  <c r="Y46" i="2"/>
  <c r="Y48" i="2" s="1"/>
  <c r="W46" i="2"/>
  <c r="AB46" i="2" s="1"/>
  <c r="V46" i="2"/>
  <c r="AA46" i="2" s="1"/>
  <c r="AA48" i="2" s="1"/>
  <c r="K34" i="1" s="1"/>
  <c r="U46" i="2"/>
  <c r="U48" i="2" s="1"/>
  <c r="T46" i="2"/>
  <c r="T48" i="2" s="1"/>
  <c r="S46" i="2"/>
  <c r="X46" i="2" s="1"/>
  <c r="X48" i="2" s="1"/>
  <c r="R46" i="2"/>
  <c r="P46" i="2"/>
  <c r="P48" i="2" s="1"/>
  <c r="H34" i="1" s="1"/>
  <c r="N46" i="2"/>
  <c r="N48" i="2" s="1"/>
  <c r="M46" i="2"/>
  <c r="M48" i="2" s="1"/>
  <c r="H46" i="2"/>
  <c r="H48" i="2" s="1"/>
  <c r="F34" i="1" s="1"/>
  <c r="T43" i="2"/>
  <c r="P43" i="2"/>
  <c r="J43" i="2"/>
  <c r="G43" i="2"/>
  <c r="F43" i="2"/>
  <c r="AC42" i="2"/>
  <c r="AA42" i="2"/>
  <c r="Z42" i="2"/>
  <c r="W42" i="2"/>
  <c r="AB42" i="2" s="1"/>
  <c r="V42" i="2"/>
  <c r="U42" i="2"/>
  <c r="T42" i="2"/>
  <c r="Y42" i="2" s="1"/>
  <c r="Y43" i="2" s="1"/>
  <c r="S42" i="2"/>
  <c r="X42" i="2" s="1"/>
  <c r="R42" i="2"/>
  <c r="P42" i="2"/>
  <c r="O42" i="2"/>
  <c r="L42" i="2" s="1"/>
  <c r="N42" i="2"/>
  <c r="M42" i="2"/>
  <c r="H42" i="2"/>
  <c r="AC41" i="2"/>
  <c r="AA41" i="2"/>
  <c r="Z41" i="2"/>
  <c r="Y41" i="2"/>
  <c r="W41" i="2"/>
  <c r="AB41" i="2" s="1"/>
  <c r="V41" i="2"/>
  <c r="U41" i="2"/>
  <c r="T41" i="2"/>
  <c r="S41" i="2"/>
  <c r="X41" i="2" s="1"/>
  <c r="R41" i="2"/>
  <c r="P41" i="2"/>
  <c r="O41" i="2"/>
  <c r="Q41" i="2" s="1"/>
  <c r="N41" i="2"/>
  <c r="M41" i="2"/>
  <c r="K41" i="2"/>
  <c r="H41" i="2"/>
  <c r="AC40" i="2"/>
  <c r="AA40" i="2"/>
  <c r="Z40" i="2"/>
  <c r="Y40" i="2"/>
  <c r="W40" i="2"/>
  <c r="AB40" i="2" s="1"/>
  <c r="V40" i="2"/>
  <c r="U40" i="2"/>
  <c r="T40" i="2"/>
  <c r="S40" i="2"/>
  <c r="X40" i="2" s="1"/>
  <c r="R40" i="2"/>
  <c r="P40" i="2"/>
  <c r="O40" i="2"/>
  <c r="L40" i="2" s="1"/>
  <c r="N40" i="2"/>
  <c r="M40" i="2"/>
  <c r="H40" i="2"/>
  <c r="AC39" i="2"/>
  <c r="AA39" i="2"/>
  <c r="AA43" i="2" s="1"/>
  <c r="K33" i="1" s="1"/>
  <c r="Z39" i="2"/>
  <c r="Z43" i="2" s="1"/>
  <c r="Y39" i="2"/>
  <c r="W39" i="2"/>
  <c r="W43" i="2" s="1"/>
  <c r="L33" i="1" s="1"/>
  <c r="V39" i="2"/>
  <c r="V43" i="2" s="1"/>
  <c r="J33" i="1" s="1"/>
  <c r="U39" i="2"/>
  <c r="U43" i="2" s="1"/>
  <c r="T39" i="2"/>
  <c r="S39" i="2"/>
  <c r="X39" i="2" s="1"/>
  <c r="R39" i="2"/>
  <c r="P39" i="2"/>
  <c r="O39" i="2"/>
  <c r="Q39" i="2" s="1"/>
  <c r="N39" i="2"/>
  <c r="N43" i="2" s="1"/>
  <c r="M39" i="2"/>
  <c r="M43" i="2" s="1"/>
  <c r="K39" i="2"/>
  <c r="H39" i="2"/>
  <c r="H43" i="2" s="1"/>
  <c r="F33" i="1" s="1"/>
  <c r="J36" i="2"/>
  <c r="G36" i="2"/>
  <c r="F36" i="2"/>
  <c r="AC35" i="2"/>
  <c r="AB35" i="2"/>
  <c r="AA35" i="2"/>
  <c r="Z35" i="2"/>
  <c r="X35" i="2"/>
  <c r="W35" i="2"/>
  <c r="V35" i="2"/>
  <c r="U35" i="2"/>
  <c r="T35" i="2"/>
  <c r="Y35" i="2" s="1"/>
  <c r="S35" i="2"/>
  <c r="R35" i="2"/>
  <c r="P35" i="2"/>
  <c r="O35" i="2"/>
  <c r="Q35" i="2" s="1"/>
  <c r="N35" i="2"/>
  <c r="M35" i="2"/>
  <c r="L35" i="2"/>
  <c r="K35" i="2"/>
  <c r="H35" i="2"/>
  <c r="AC34" i="2"/>
  <c r="AB34" i="2"/>
  <c r="AA34" i="2"/>
  <c r="Z34" i="2"/>
  <c r="X34" i="2"/>
  <c r="W34" i="2"/>
  <c r="V34" i="2"/>
  <c r="U34" i="2"/>
  <c r="T34" i="2"/>
  <c r="Y34" i="2" s="1"/>
  <c r="S34" i="2"/>
  <c r="R34" i="2"/>
  <c r="P34" i="2"/>
  <c r="O34" i="2"/>
  <c r="Q34" i="2" s="1"/>
  <c r="N34" i="2"/>
  <c r="M34" i="2"/>
  <c r="L34" i="2"/>
  <c r="K34" i="2"/>
  <c r="H34" i="2"/>
  <c r="AC33" i="2"/>
  <c r="AB33" i="2"/>
  <c r="AA33" i="2"/>
  <c r="W33" i="2"/>
  <c r="V33" i="2"/>
  <c r="U33" i="2"/>
  <c r="Z33" i="2" s="1"/>
  <c r="T33" i="2"/>
  <c r="Y33" i="2" s="1"/>
  <c r="S33" i="2"/>
  <c r="X33" i="2" s="1"/>
  <c r="R33" i="2"/>
  <c r="P33" i="2"/>
  <c r="N33" i="2"/>
  <c r="M33" i="2"/>
  <c r="O33" i="2" s="1"/>
  <c r="H33" i="2"/>
  <c r="AC32" i="2"/>
  <c r="AA32" i="2"/>
  <c r="Z32" i="2"/>
  <c r="X32" i="2"/>
  <c r="W32" i="2"/>
  <c r="AB32" i="2" s="1"/>
  <c r="V32" i="2"/>
  <c r="U32" i="2"/>
  <c r="T32" i="2"/>
  <c r="Y32" i="2" s="1"/>
  <c r="S32" i="2"/>
  <c r="R32" i="2"/>
  <c r="P32" i="2"/>
  <c r="O32" i="2"/>
  <c r="Q32" i="2" s="1"/>
  <c r="N32" i="2"/>
  <c r="M32" i="2"/>
  <c r="L32" i="2"/>
  <c r="K32" i="2"/>
  <c r="H32" i="2"/>
  <c r="AC31" i="2"/>
  <c r="AB31" i="2"/>
  <c r="AA31" i="2"/>
  <c r="W31" i="2"/>
  <c r="V31" i="2"/>
  <c r="U31" i="2"/>
  <c r="Z31" i="2" s="1"/>
  <c r="T31" i="2"/>
  <c r="Y31" i="2" s="1"/>
  <c r="S31" i="2"/>
  <c r="X31" i="2" s="1"/>
  <c r="R31" i="2"/>
  <c r="P31" i="2"/>
  <c r="O31" i="2"/>
  <c r="Q31" i="2" s="1"/>
  <c r="N31" i="2"/>
  <c r="M31" i="2"/>
  <c r="L31" i="2"/>
  <c r="K31" i="2"/>
  <c r="H31" i="2"/>
  <c r="AC30" i="2"/>
  <c r="AA30" i="2"/>
  <c r="Z30" i="2"/>
  <c r="Y30" i="2"/>
  <c r="X30" i="2"/>
  <c r="W30" i="2"/>
  <c r="AB30" i="2" s="1"/>
  <c r="V30" i="2"/>
  <c r="U30" i="2"/>
  <c r="T30" i="2"/>
  <c r="S30" i="2"/>
  <c r="R30" i="2"/>
  <c r="P30" i="2"/>
  <c r="O30" i="2"/>
  <c r="L30" i="2" s="1"/>
  <c r="N30" i="2"/>
  <c r="M30" i="2"/>
  <c r="K30" i="2"/>
  <c r="H30" i="2"/>
  <c r="AC29" i="2"/>
  <c r="AB29" i="2"/>
  <c r="AA29" i="2"/>
  <c r="W29" i="2"/>
  <c r="V29" i="2"/>
  <c r="U29" i="2"/>
  <c r="Z29" i="2" s="1"/>
  <c r="T29" i="2"/>
  <c r="Y29" i="2" s="1"/>
  <c r="S29" i="2"/>
  <c r="X29" i="2" s="1"/>
  <c r="R29" i="2"/>
  <c r="P29" i="2"/>
  <c r="O29" i="2"/>
  <c r="Q29" i="2" s="1"/>
  <c r="N29" i="2"/>
  <c r="M29" i="2"/>
  <c r="L29" i="2"/>
  <c r="K29" i="2"/>
  <c r="H29" i="2"/>
  <c r="AC28" i="2"/>
  <c r="AA28" i="2"/>
  <c r="Z28" i="2"/>
  <c r="Y28" i="2"/>
  <c r="X28" i="2"/>
  <c r="W28" i="2"/>
  <c r="AB28" i="2" s="1"/>
  <c r="V28" i="2"/>
  <c r="U28" i="2"/>
  <c r="T28" i="2"/>
  <c r="S28" i="2"/>
  <c r="R28" i="2"/>
  <c r="P28" i="2"/>
  <c r="O28" i="2"/>
  <c r="L28" i="2" s="1"/>
  <c r="N28" i="2"/>
  <c r="M28" i="2"/>
  <c r="K28" i="2"/>
  <c r="H28" i="2"/>
  <c r="AC27" i="2"/>
  <c r="AB27" i="2"/>
  <c r="AA27" i="2"/>
  <c r="W27" i="2"/>
  <c r="V27" i="2"/>
  <c r="U27" i="2"/>
  <c r="Z27" i="2" s="1"/>
  <c r="T27" i="2"/>
  <c r="Y27" i="2" s="1"/>
  <c r="S27" i="2"/>
  <c r="X27" i="2" s="1"/>
  <c r="R27" i="2"/>
  <c r="P27" i="2"/>
  <c r="O27" i="2"/>
  <c r="Q27" i="2" s="1"/>
  <c r="N27" i="2"/>
  <c r="M27" i="2"/>
  <c r="L27" i="2"/>
  <c r="K27" i="2"/>
  <c r="H27" i="2"/>
  <c r="AC26" i="2"/>
  <c r="AA26" i="2"/>
  <c r="Z26" i="2"/>
  <c r="Y26" i="2"/>
  <c r="X26" i="2"/>
  <c r="W26" i="2"/>
  <c r="AB26" i="2" s="1"/>
  <c r="V26" i="2"/>
  <c r="U26" i="2"/>
  <c r="T26" i="2"/>
  <c r="S26" i="2"/>
  <c r="R26" i="2"/>
  <c r="P26" i="2"/>
  <c r="O26" i="2"/>
  <c r="L26" i="2" s="1"/>
  <c r="N26" i="2"/>
  <c r="M26" i="2"/>
  <c r="K26" i="2"/>
  <c r="H26" i="2"/>
  <c r="AC25" i="2"/>
  <c r="AB25" i="2"/>
  <c r="AA25" i="2"/>
  <c r="W25" i="2"/>
  <c r="V25" i="2"/>
  <c r="U25" i="2"/>
  <c r="Z25" i="2" s="1"/>
  <c r="T25" i="2"/>
  <c r="Y25" i="2" s="1"/>
  <c r="S25" i="2"/>
  <c r="X25" i="2" s="1"/>
  <c r="R25" i="2"/>
  <c r="P25" i="2"/>
  <c r="O25" i="2"/>
  <c r="Q25" i="2" s="1"/>
  <c r="N25" i="2"/>
  <c r="M25" i="2"/>
  <c r="L25" i="2"/>
  <c r="K25" i="2"/>
  <c r="H25" i="2"/>
  <c r="AC24" i="2"/>
  <c r="AA24" i="2"/>
  <c r="Z24" i="2"/>
  <c r="Y24" i="2"/>
  <c r="X24" i="2"/>
  <c r="W24" i="2"/>
  <c r="AB24" i="2" s="1"/>
  <c r="V24" i="2"/>
  <c r="U24" i="2"/>
  <c r="T24" i="2"/>
  <c r="S24" i="2"/>
  <c r="R24" i="2"/>
  <c r="P24" i="2"/>
  <c r="O24" i="2"/>
  <c r="L24" i="2" s="1"/>
  <c r="N24" i="2"/>
  <c r="M24" i="2"/>
  <c r="K24" i="2"/>
  <c r="H24" i="2"/>
  <c r="AC23" i="2"/>
  <c r="AB23" i="2"/>
  <c r="AA23" i="2"/>
  <c r="W23" i="2"/>
  <c r="V23" i="2"/>
  <c r="U23" i="2"/>
  <c r="Z23" i="2" s="1"/>
  <c r="T23" i="2"/>
  <c r="Y23" i="2" s="1"/>
  <c r="S23" i="2"/>
  <c r="X23" i="2" s="1"/>
  <c r="R23" i="2"/>
  <c r="P23" i="2"/>
  <c r="O23" i="2"/>
  <c r="Q23" i="2" s="1"/>
  <c r="N23" i="2"/>
  <c r="M23" i="2"/>
  <c r="L23" i="2"/>
  <c r="K23" i="2"/>
  <c r="H23" i="2"/>
  <c r="AC22" i="2"/>
  <c r="AA22" i="2"/>
  <c r="AA36" i="2" s="1"/>
  <c r="K32" i="1" s="1"/>
  <c r="Z22" i="2"/>
  <c r="Y22" i="2"/>
  <c r="X22" i="2"/>
  <c r="W22" i="2"/>
  <c r="AB22" i="2" s="1"/>
  <c r="V22" i="2"/>
  <c r="V36" i="2" s="1"/>
  <c r="J32" i="1" s="1"/>
  <c r="U22" i="2"/>
  <c r="U36" i="2" s="1"/>
  <c r="T22" i="2"/>
  <c r="T36" i="2" s="1"/>
  <c r="S22" i="2"/>
  <c r="S36" i="2" s="1"/>
  <c r="R22" i="2"/>
  <c r="P22" i="2"/>
  <c r="P36" i="2" s="1"/>
  <c r="H32" i="1" s="1"/>
  <c r="O22" i="2"/>
  <c r="L22" i="2" s="1"/>
  <c r="N22" i="2"/>
  <c r="N36" i="2" s="1"/>
  <c r="M22" i="2"/>
  <c r="M36" i="2" s="1"/>
  <c r="K22" i="2"/>
  <c r="H22" i="2"/>
  <c r="H36" i="2" s="1"/>
  <c r="F32" i="1" s="1"/>
  <c r="J19" i="2"/>
  <c r="J55" i="2" s="1"/>
  <c r="J18" i="2"/>
  <c r="G18" i="2"/>
  <c r="G19" i="2" s="1"/>
  <c r="G55" i="2" s="1"/>
  <c r="F18" i="2"/>
  <c r="F19" i="2" s="1"/>
  <c r="F55" i="2" s="1"/>
  <c r="P17" i="2"/>
  <c r="M17" i="2"/>
  <c r="J17" i="2"/>
  <c r="G17" i="2"/>
  <c r="F17" i="2"/>
  <c r="AC16" i="2"/>
  <c r="R16" i="2"/>
  <c r="P16" i="2"/>
  <c r="N16" i="2"/>
  <c r="N17" i="2" s="1"/>
  <c r="M16" i="2"/>
  <c r="O16" i="2" s="1"/>
  <c r="H16" i="2"/>
  <c r="H17" i="2" s="1"/>
  <c r="F31" i="1" s="1"/>
  <c r="AC14" i="2"/>
  <c r="Z14" i="2"/>
  <c r="Y14" i="2"/>
  <c r="X14" i="2"/>
  <c r="W14" i="2"/>
  <c r="AB14" i="2" s="1"/>
  <c r="V14" i="2"/>
  <c r="AA14" i="2" s="1"/>
  <c r="U14" i="2"/>
  <c r="T14" i="2"/>
  <c r="S14" i="2"/>
  <c r="R14" i="2"/>
  <c r="P14" i="2"/>
  <c r="O14" i="2"/>
  <c r="L14" i="2" s="1"/>
  <c r="N14" i="2"/>
  <c r="M14" i="2"/>
  <c r="H14" i="2"/>
  <c r="AC13" i="2"/>
  <c r="AB13" i="2"/>
  <c r="Z13" i="2"/>
  <c r="W13" i="2"/>
  <c r="V13" i="2"/>
  <c r="AA13" i="2" s="1"/>
  <c r="U13" i="2"/>
  <c r="T13" i="2"/>
  <c r="Y13" i="2" s="1"/>
  <c r="S13" i="2"/>
  <c r="X13" i="2" s="1"/>
  <c r="R13" i="2"/>
  <c r="P13" i="2"/>
  <c r="N13" i="2"/>
  <c r="M13" i="2"/>
  <c r="O13" i="2" s="1"/>
  <c r="H13" i="2"/>
  <c r="AC12" i="2"/>
  <c r="Z12" i="2"/>
  <c r="Y12" i="2"/>
  <c r="X12" i="2"/>
  <c r="W12" i="2"/>
  <c r="AB12" i="2" s="1"/>
  <c r="V12" i="2"/>
  <c r="AA12" i="2" s="1"/>
  <c r="U12" i="2"/>
  <c r="T12" i="2"/>
  <c r="S12" i="2"/>
  <c r="R12" i="2"/>
  <c r="P12" i="2"/>
  <c r="O12" i="2"/>
  <c r="L12" i="2" s="1"/>
  <c r="N12" i="2"/>
  <c r="M12" i="2"/>
  <c r="H12" i="2"/>
  <c r="AC11" i="2"/>
  <c r="AB11" i="2"/>
  <c r="Z11" i="2"/>
  <c r="W11" i="2"/>
  <c r="V11" i="2"/>
  <c r="AA11" i="2" s="1"/>
  <c r="U11" i="2"/>
  <c r="T11" i="2"/>
  <c r="Y11" i="2" s="1"/>
  <c r="S11" i="2"/>
  <c r="X11" i="2" s="1"/>
  <c r="R11" i="2"/>
  <c r="P11" i="2"/>
  <c r="N11" i="2"/>
  <c r="M11" i="2"/>
  <c r="O11" i="2" s="1"/>
  <c r="H11" i="2"/>
  <c r="AC10" i="2"/>
  <c r="Z10" i="2"/>
  <c r="Y10" i="2"/>
  <c r="X10" i="2"/>
  <c r="W10" i="2"/>
  <c r="AB10" i="2" s="1"/>
  <c r="V10" i="2"/>
  <c r="AA10" i="2" s="1"/>
  <c r="U10" i="2"/>
  <c r="T10" i="2"/>
  <c r="S10" i="2"/>
  <c r="R10" i="2"/>
  <c r="P10" i="2"/>
  <c r="O10" i="2"/>
  <c r="L10" i="2" s="1"/>
  <c r="N10" i="2"/>
  <c r="M10" i="2"/>
  <c r="H10" i="2"/>
  <c r="AC9" i="2"/>
  <c r="AB9" i="2"/>
  <c r="Z9" i="2"/>
  <c r="W9" i="2"/>
  <c r="V9" i="2"/>
  <c r="AA9" i="2" s="1"/>
  <c r="U9" i="2"/>
  <c r="T9" i="2"/>
  <c r="Y9" i="2" s="1"/>
  <c r="S9" i="2"/>
  <c r="X9" i="2" s="1"/>
  <c r="R9" i="2"/>
  <c r="P9" i="2"/>
  <c r="N9" i="2"/>
  <c r="M9" i="2"/>
  <c r="O9" i="2" s="1"/>
  <c r="H9" i="2"/>
  <c r="AC8" i="2"/>
  <c r="Z8" i="2"/>
  <c r="Y8" i="2"/>
  <c r="X8" i="2"/>
  <c r="W8" i="2"/>
  <c r="AB8" i="2" s="1"/>
  <c r="V8" i="2"/>
  <c r="AA8" i="2" s="1"/>
  <c r="U8" i="2"/>
  <c r="T8" i="2"/>
  <c r="S8" i="2"/>
  <c r="R8" i="2"/>
  <c r="P8" i="2"/>
  <c r="N8" i="2"/>
  <c r="O8" i="2" s="1"/>
  <c r="M8" i="2"/>
  <c r="H8" i="2"/>
  <c r="AC7" i="2"/>
  <c r="AB7" i="2"/>
  <c r="AA7" i="2"/>
  <c r="AA18" i="2" s="1"/>
  <c r="Z7" i="2"/>
  <c r="Z18" i="2" s="1"/>
  <c r="W7" i="2"/>
  <c r="W18" i="2" s="1"/>
  <c r="V7" i="2"/>
  <c r="V18" i="2" s="1"/>
  <c r="U7" i="2"/>
  <c r="U18" i="2" s="1"/>
  <c r="T7" i="2"/>
  <c r="Y7" i="2" s="1"/>
  <c r="S7" i="2"/>
  <c r="X7" i="2" s="1"/>
  <c r="R7" i="2"/>
  <c r="D43" i="3" s="1"/>
  <c r="D42" i="1" s="1"/>
  <c r="P7" i="2"/>
  <c r="P18" i="2" s="1"/>
  <c r="N7" i="2"/>
  <c r="N18" i="2" s="1"/>
  <c r="N19" i="2" s="1"/>
  <c r="N55" i="2" s="1"/>
  <c r="M7" i="2"/>
  <c r="M18" i="2" s="1"/>
  <c r="M19" i="2" s="1"/>
  <c r="M55" i="2" s="1"/>
  <c r="H7" i="2"/>
  <c r="H18" i="2" s="1"/>
  <c r="AB4" i="2"/>
  <c r="AA4" i="2"/>
  <c r="Z4" i="2"/>
  <c r="Y4" i="2"/>
  <c r="X4" i="2"/>
  <c r="W4" i="2"/>
  <c r="V4" i="2"/>
  <c r="U4" i="2"/>
  <c r="T4" i="2"/>
  <c r="S4" i="2"/>
  <c r="O4" i="2"/>
  <c r="N4" i="2"/>
  <c r="M4" i="2"/>
  <c r="L4" i="2"/>
  <c r="K4" i="2"/>
  <c r="E58" i="1"/>
  <c r="B58" i="1"/>
  <c r="F51" i="1"/>
  <c r="D51" i="1"/>
  <c r="B51" i="1"/>
  <c r="J48" i="1"/>
  <c r="H48" i="1"/>
  <c r="F48" i="1"/>
  <c r="D48" i="1"/>
  <c r="B48" i="1"/>
  <c r="G43" i="1"/>
  <c r="E43" i="1"/>
  <c r="B43" i="1"/>
  <c r="G42" i="1"/>
  <c r="E42" i="1"/>
  <c r="B42" i="1"/>
  <c r="G41" i="1"/>
  <c r="E41" i="1"/>
  <c r="B41" i="1"/>
  <c r="G35" i="1"/>
  <c r="E35" i="1"/>
  <c r="D35" i="1"/>
  <c r="G34" i="1"/>
  <c r="E34" i="1"/>
  <c r="D34" i="1"/>
  <c r="H33" i="1"/>
  <c r="G33" i="1"/>
  <c r="E33" i="1"/>
  <c r="D33" i="1"/>
  <c r="G32" i="1"/>
  <c r="E32" i="1"/>
  <c r="D32" i="1"/>
  <c r="H31" i="1"/>
  <c r="G31" i="1"/>
  <c r="E31" i="1"/>
  <c r="D31" i="1"/>
  <c r="G30" i="1"/>
  <c r="E30" i="1"/>
  <c r="D30" i="1"/>
  <c r="H16" i="3" l="1"/>
  <c r="AB36" i="2"/>
  <c r="M32" i="1" s="1"/>
  <c r="H26" i="3"/>
  <c r="S16" i="2"/>
  <c r="Q16" i="2"/>
  <c r="Q17" i="2" s="1"/>
  <c r="I31" i="1" s="1"/>
  <c r="O17" i="2"/>
  <c r="L16" i="2"/>
  <c r="L17" i="2" s="1"/>
  <c r="K16" i="2"/>
  <c r="K17" i="2" s="1"/>
  <c r="X36" i="2"/>
  <c r="J51" i="1"/>
  <c r="E36" i="1"/>
  <c r="H51" i="1"/>
  <c r="I55" i="2"/>
  <c r="K7" i="1"/>
  <c r="G36" i="1"/>
  <c r="E7" i="1"/>
  <c r="Y36" i="2"/>
  <c r="AB48" i="2"/>
  <c r="M34" i="1" s="1"/>
  <c r="H20" i="3"/>
  <c r="K30" i="1"/>
  <c r="Q9" i="2"/>
  <c r="L9" i="2"/>
  <c r="K9" i="2"/>
  <c r="Q13" i="2"/>
  <c r="L13" i="2"/>
  <c r="K13" i="2"/>
  <c r="Z36" i="2"/>
  <c r="Q43" i="2"/>
  <c r="I33" i="1" s="1"/>
  <c r="H17" i="3"/>
  <c r="Y18" i="2"/>
  <c r="Q33" i="2"/>
  <c r="L33" i="2"/>
  <c r="L36" i="2" s="1"/>
  <c r="K33" i="2"/>
  <c r="Z48" i="2"/>
  <c r="H18" i="3"/>
  <c r="L30" i="1"/>
  <c r="Q11" i="2"/>
  <c r="L11" i="2"/>
  <c r="K11" i="2"/>
  <c r="L47" i="2"/>
  <c r="K47" i="2"/>
  <c r="Q47" i="2"/>
  <c r="P19" i="2"/>
  <c r="P55" i="2" s="1"/>
  <c r="H30" i="1"/>
  <c r="X18" i="2"/>
  <c r="U16" i="2"/>
  <c r="H28" i="3"/>
  <c r="B7" i="1"/>
  <c r="D36" i="1"/>
  <c r="AB18" i="2"/>
  <c r="F30" i="1"/>
  <c r="H19" i="2"/>
  <c r="H55" i="2" s="1"/>
  <c r="J30" i="1"/>
  <c r="L8" i="2"/>
  <c r="K8" i="2"/>
  <c r="Q8" i="2"/>
  <c r="K36" i="2"/>
  <c r="X43" i="2"/>
  <c r="H19" i="3"/>
  <c r="H21" i="3"/>
  <c r="O43" i="2"/>
  <c r="S48" i="2"/>
  <c r="D19" i="3"/>
  <c r="E27" i="3"/>
  <c r="D44" i="3"/>
  <c r="D43" i="1" s="1"/>
  <c r="Q51" i="2"/>
  <c r="Q53" i="2" s="1"/>
  <c r="I35" i="1" s="1"/>
  <c r="F27" i="3"/>
  <c r="D30" i="3"/>
  <c r="Q22" i="2"/>
  <c r="Q24" i="2"/>
  <c r="Q26" i="2"/>
  <c r="Q28" i="2"/>
  <c r="Q30" i="2"/>
  <c r="W36" i="2"/>
  <c r="L32" i="1" s="1"/>
  <c r="L39" i="2"/>
  <c r="AB39" i="2"/>
  <c r="AB43" i="2" s="1"/>
  <c r="M33" i="1" s="1"/>
  <c r="L41" i="2"/>
  <c r="O46" i="2"/>
  <c r="D18" i="3"/>
  <c r="E30" i="3"/>
  <c r="G30" i="3" s="1"/>
  <c r="Q10" i="2"/>
  <c r="Q12" i="2"/>
  <c r="Q14" i="2"/>
  <c r="O36" i="2"/>
  <c r="Q40" i="2"/>
  <c r="Q42" i="2"/>
  <c r="S43" i="2"/>
  <c r="V48" i="2"/>
  <c r="J34" i="1" s="1"/>
  <c r="D29" i="3"/>
  <c r="S18" i="2"/>
  <c r="W48" i="2"/>
  <c r="L34" i="1" s="1"/>
  <c r="E29" i="3"/>
  <c r="G29" i="3" s="1"/>
  <c r="O7" i="2"/>
  <c r="K10" i="2"/>
  <c r="K12" i="2"/>
  <c r="K14" i="2"/>
  <c r="T18" i="2"/>
  <c r="K40" i="2"/>
  <c r="K43" i="2" s="1"/>
  <c r="K42" i="2"/>
  <c r="D42" i="3"/>
  <c r="H30" i="3" l="1"/>
  <c r="W16" i="2"/>
  <c r="G27" i="3"/>
  <c r="H36" i="1"/>
  <c r="B13" i="1"/>
  <c r="S17" i="2"/>
  <c r="X16" i="2"/>
  <c r="X17" i="2" s="1"/>
  <c r="X19" i="2" s="1"/>
  <c r="X55" i="2" s="1"/>
  <c r="M30" i="1"/>
  <c r="L46" i="2"/>
  <c r="L48" i="2" s="1"/>
  <c r="K46" i="2"/>
  <c r="K48" i="2" s="1"/>
  <c r="O48" i="2"/>
  <c r="E22" i="1"/>
  <c r="Q46" i="2"/>
  <c r="Q48" i="2" s="1"/>
  <c r="I34" i="1" s="1"/>
  <c r="E21" i="1"/>
  <c r="E23" i="1" s="1"/>
  <c r="K17" i="1"/>
  <c r="H17" i="1"/>
  <c r="U17" i="2"/>
  <c r="U19" i="2" s="1"/>
  <c r="U55" i="2" s="1"/>
  <c r="Z16" i="2"/>
  <c r="Z17" i="2" s="1"/>
  <c r="Z19" i="2" s="1"/>
  <c r="Z55" i="2" s="1"/>
  <c r="Q7" i="2"/>
  <c r="Q18" i="2" s="1"/>
  <c r="K7" i="2"/>
  <c r="K18" i="2" s="1"/>
  <c r="K19" i="2" s="1"/>
  <c r="K55" i="2" s="1"/>
  <c r="L7" i="2"/>
  <c r="L18" i="2" s="1"/>
  <c r="L19" i="2" s="1"/>
  <c r="L55" i="2" s="1"/>
  <c r="O18" i="2"/>
  <c r="O19" i="2" s="1"/>
  <c r="O55" i="2" s="1"/>
  <c r="D45" i="3"/>
  <c r="D41" i="1"/>
  <c r="H29" i="3"/>
  <c r="V16" i="2"/>
  <c r="L43" i="2"/>
  <c r="F36" i="1"/>
  <c r="H7" i="1"/>
  <c r="Q36" i="2"/>
  <c r="I32" i="1" s="1"/>
  <c r="S19" i="2"/>
  <c r="S55" i="2" s="1"/>
  <c r="B17" i="1" l="1"/>
  <c r="I30" i="1"/>
  <c r="Q19" i="2"/>
  <c r="Q55" i="2" s="1"/>
  <c r="V17" i="2"/>
  <c r="AA16" i="2"/>
  <c r="AA17" i="2" s="1"/>
  <c r="H27" i="3"/>
  <c r="T16" i="2"/>
  <c r="W17" i="2"/>
  <c r="AB16" i="2"/>
  <c r="AB17" i="2" s="1"/>
  <c r="Y16" i="2" l="1"/>
  <c r="Y17" i="2" s="1"/>
  <c r="Y19" i="2" s="1"/>
  <c r="Y55" i="2" s="1"/>
  <c r="T17" i="2"/>
  <c r="T19" i="2" s="1"/>
  <c r="T55" i="2" s="1"/>
  <c r="K31" i="1"/>
  <c r="AA19" i="2"/>
  <c r="AA55" i="2" s="1"/>
  <c r="J31" i="1"/>
  <c r="V19" i="2"/>
  <c r="V55" i="2" s="1"/>
  <c r="J36" i="1" s="1"/>
  <c r="E13" i="1"/>
  <c r="I36" i="1"/>
  <c r="M31" i="1"/>
  <c r="AB19" i="2"/>
  <c r="AB55" i="2" s="1"/>
  <c r="L31" i="1"/>
  <c r="W19" i="2"/>
  <c r="W55" i="2" s="1"/>
  <c r="L36" i="1" s="1"/>
  <c r="H58" i="1" l="1"/>
  <c r="E24" i="1"/>
  <c r="H13" i="1"/>
  <c r="K13" i="1"/>
  <c r="K36" i="1"/>
  <c r="E25" i="1"/>
  <c r="M36" i="1"/>
  <c r="E17" i="1"/>
  <c r="K58" i="1"/>
  <c r="K14" i="1"/>
</calcChain>
</file>

<file path=xl/sharedStrings.xml><?xml version="1.0" encoding="utf-8"?>
<sst xmlns="http://schemas.openxmlformats.org/spreadsheetml/2006/main" count="873" uniqueCount="375">
  <si>
    <t>ԱՄՓՈՓ ՊԱՏԿԵՐ</t>
  </si>
  <si>
    <t>ԿԱԶՄԱԿԵՐՊՈՒԹՅՈՒՆ</t>
  </si>
  <si>
    <t>ԸՆԴԱՄԵՆԸ ՀԱՍՏԻՔ</t>
  </si>
  <si>
    <t>ՀԱՄԱԼՐՎԱԾ</t>
  </si>
  <si>
    <t>ԹԱՓՈՒՐ</t>
  </si>
  <si>
    <t>ԼՐԱՑՎԱԾՈՒԹՅՈՒՆ</t>
  </si>
  <si>
    <t>52 հաստիք։ + 2 ԱՁ + 3 ղեկավար (CEO/CTO/S&amp;O) = 57 ընդամենը</t>
  </si>
  <si>
    <t>Փաստացի աշխատող մարդ</t>
  </si>
  <si>
    <t>Բացվող հաստիքներ (առանց ԱՁ)</t>
  </si>
  <si>
    <t>Համալրված ÷ ընդամենը</t>
  </si>
  <si>
    <t>ԱՄՍԱԿԱՆ ԱՇԽԱՏԱՎԱՐՁԱՅԻՆ ԲԵՌ (֏)</t>
  </si>
  <si>
    <t>ՖԻՔՍ՝ ՄԱՔՈՒՐ</t>
  </si>
  <si>
    <t>ՖԻՔՍԻ ԲԱԶԱ՝ ՀԱՐԿԵՐՈՎ</t>
  </si>
  <si>
    <t>ԲԱԶԱՅԻՆ ՍՑԵՆԱՐ՝ ՀԱՐԿԵՐՈՎ</t>
  </si>
  <si>
    <t>ՏԱՐԵԿԱՆ՝ ԲԱԶԱՅԻՆ</t>
  </si>
  <si>
    <t>Առանց բոնուսի՝ 52 հաստիք + 2 ԱՁ</t>
  </si>
  <si>
    <t>Հաշվարկային բազա։ Հատակ չէ — D2D-ն շեմից ցածր ֆիքս չի ստանում</t>
  </si>
  <si>
    <t>Կատարում 100–119% (բոնուս +35%)</t>
  </si>
  <si>
    <t>ՀԱՏԱԿ՝ ԱՄՍԱԿԱՆ (&lt;80%)</t>
  </si>
  <si>
    <t>ԱՌԱՍՏԱՂ՝ ԱՄՍԱԿԱՆ (≥120%)</t>
  </si>
  <si>
    <t>ՓԱՍՏԱՑԻ ԱՅՍՕՐ</t>
  </si>
  <si>
    <t>ԹԱՓՈՒՐԻ ԱՐԺԵՔԸ</t>
  </si>
  <si>
    <t>Ամենացածր հնարավոր ելք, հարկերով</t>
  </si>
  <si>
    <t>Ամենաբարձր հնարավոր ելք, հարկերով</t>
  </si>
  <si>
    <t>Միայն համալրված հաստիքները, ֆիքս հարկերով</t>
  </si>
  <si>
    <t>Ինչ կավելանա լրիվ համալրվելիս</t>
  </si>
  <si>
    <t>ԵՐԵՔ ԹԻՎ</t>
  </si>
  <si>
    <t>ԱՄՍԱԿԱՆ, ՀԱՐԿԵՐՈՎ (֏)</t>
  </si>
  <si>
    <t>ԻՆՉ Է ՆԵՐԱՌՈՒՄ</t>
  </si>
  <si>
    <t>ՀԱՇՎԱՐԿ</t>
  </si>
  <si>
    <t>ՀԻՄԱ ՈՒՆԵՆՔ</t>
  </si>
  <si>
    <t>Միայն համալրված հաստիքները, ֆիքս</t>
  </si>
  <si>
    <t>Ֆիքս հարկերով × համալրված</t>
  </si>
  <si>
    <t>ՄԵՆԱԿ ԿՐԻՏԻԿԱԿԱՆԸ</t>
  </si>
  <si>
    <t>Միայն կրիտիկական թափուր հաստիքները</t>
  </si>
  <si>
    <t>Ֆիքս հարկերով × կրիտիկական թափուր</t>
  </si>
  <si>
    <t>ՀԻՄԱ + ԿՐԻՏԻԿԱԿԱՆ</t>
  </si>
  <si>
    <t>Համալրվածները + կրիտիկական թափուրները</t>
  </si>
  <si>
    <t>Ֆիքս հարկերով × (համալրված + կրիտիկական թափուր)</t>
  </si>
  <si>
    <t>ԼՐԻՎ ՀԱՄԱԼՐՎԵԼԻՍ</t>
  </si>
  <si>
    <t>Բոլոր հաստիքները, բազային բոնուսով</t>
  </si>
  <si>
    <t>Բազային սցենար 100–119%</t>
  </si>
  <si>
    <t>ՀԱՋՈՐԴ ՏԱՐԻ</t>
  </si>
  <si>
    <t>Լրիվ համալրված, 12 ամիս</t>
  </si>
  <si>
    <t>Լրիվ համալրված × 12</t>
  </si>
  <si>
    <t>ԲԱԺԻՆՆԵՐ</t>
  </si>
  <si>
    <t>Բաժին</t>
  </si>
  <si>
    <t>Հաստիք</t>
  </si>
  <si>
    <t>Համալրված</t>
  </si>
  <si>
    <t>Թափուր</t>
  </si>
  <si>
    <t>Լրացված %</t>
  </si>
  <si>
    <t>Ֆիքս՝ մաքուր</t>
  </si>
  <si>
    <t>Ֆիքս՝ հարկերով</t>
  </si>
  <si>
    <t>Բազային՝ մաքուր</t>
  </si>
  <si>
    <t>Բազային՝ հարկերով</t>
  </si>
  <si>
    <t>Առավելագույն՝ մաքուր</t>
  </si>
  <si>
    <t>Առավելագույն՝ հարկերով</t>
  </si>
  <si>
    <t>Կոմերցիոն (առանց D2D)</t>
  </si>
  <si>
    <t>D2D գործակալ (առանձին հոդված)</t>
  </si>
  <si>
    <t>Տեխնիկական</t>
  </si>
  <si>
    <t>Հաճախորդների սպասարկում</t>
  </si>
  <si>
    <t>Բիլինգ և եկամուտ</t>
  </si>
  <si>
    <t>ԱՁ պայմանագրեր (հաստիք չէ)</t>
  </si>
  <si>
    <t>ԸՆԴԱՄԵՆԸ</t>
  </si>
  <si>
    <t>ՎՃԱՐՄԱՆ ՄՈԴԵԼՆԵՐ</t>
  </si>
  <si>
    <t>Մոդել</t>
  </si>
  <si>
    <t>Ո՞ւմ վրա</t>
  </si>
  <si>
    <t>Ինչպե՞ս է վճարվում</t>
  </si>
  <si>
    <t>ՊԱՐՏԱԴԻՐ ՎՃԱՐՆԵՐ ԵՎ ՀԱՄԱԼՐՄԱՆ ԱՌԱՋՆԱՀԵՐԹՈՒԹՅՈՒՆ</t>
  </si>
  <si>
    <t>Եկամտահարկ</t>
  </si>
  <si>
    <t>Սոցիալական վճար</t>
  </si>
  <si>
    <t>Դրոշմանիշային</t>
  </si>
  <si>
    <t>Ապահովագրություն</t>
  </si>
  <si>
    <t>Զուտից հարկերով գործակից</t>
  </si>
  <si>
    <t>Կրիտիկական</t>
  </si>
  <si>
    <t>Կարևոր</t>
  </si>
  <si>
    <t>Կարող է սպասել</t>
  </si>
  <si>
    <t>Ընդամենը մարդ</t>
  </si>
  <si>
    <t>ԲՈՆՈՒՍԱՅԻՆ ՄԵԽԱՆԻԿԱ</t>
  </si>
  <si>
    <t>KPI ՉԱՓՈՒՄՆԵՐ</t>
  </si>
  <si>
    <t>ԲՈՆՈՒՍԻ ԱՍՏԻՃԱՆՆԵՐ</t>
  </si>
  <si>
    <t>ԲՈՆՈՒՍԻ ՖՈՆԴ՝ ԲԱԶԱՅԻՆ</t>
  </si>
  <si>
    <t>ԲՈՆՈՒՍԻ ՖՈՆԴ՝ ԱՌԱՎԵԼԱԳՈՒՅՆ</t>
  </si>
  <si>
    <t>Պաշտոն × ցուցանիշ, կշիռներով</t>
  </si>
  <si>
    <t>Կատարման 5 միջակայքի բոնուս ֆիքսից</t>
  </si>
  <si>
    <t>100–119% սցենար, հարկերով</t>
  </si>
  <si>
    <t>≥ 120% սցենար, հարկերով</t>
  </si>
  <si>
    <t>Մանրամասները՝ «Կառուցվածք և աշխատավարձ» (31 պաշտոն, 52 հաստիք + 2 ԱՁ, 10 սցենար) · «Մոդելներ և պարտադիր վճարներ» (Ա/Բ/Գ մոդելներ, հարկեր, փորձաշրջան) · «KPI» (պաշտոն → ցուցանիշ → կշիռ)</t>
  </si>
  <si>
    <t>Բաժինների միասնական կառուցվածք, աշխատավարձային ամփոփում և բոնուսային համակարգի նախագիծ</t>
  </si>
  <si>
    <t>Խումբ</t>
  </si>
  <si>
    <t>Դրույք</t>
  </si>
  <si>
    <t>Քանակ</t>
  </si>
  <si>
    <t>Համալրման առաջնահերթություն</t>
  </si>
  <si>
    <t>Ֆիքսված աշխատավարձ առանց հարկերի</t>
  </si>
  <si>
    <t>Ֆիքսված աշխատավարձ առանց հարկերի ըստ հաստիքների քանակի</t>
  </si>
  <si>
    <t>Ֆիքսված աշխատավարձ հարկերը ներառյալ ըստ հաստիքների քանակի</t>
  </si>
  <si>
    <t>Վճարման մոդել</t>
  </si>
  <si>
    <t>Բոնուսի կանոն</t>
  </si>
  <si>
    <t>Անմիջական ղեկավար</t>
  </si>
  <si>
    <t>ԿՈՄԵՐՑԻՈՆ</t>
  </si>
  <si>
    <t>Կոմերցիոն</t>
  </si>
  <si>
    <t>Վաճառք</t>
  </si>
  <si>
    <t>Վաճառքի ղեկավար</t>
  </si>
  <si>
    <t>Վաճառքի և գործառնական ղեկավար</t>
  </si>
  <si>
    <t>Վաճառքի և սպասարկման ավագ մասնագետ</t>
  </si>
  <si>
    <t>Վաճառքի մասնագետ</t>
  </si>
  <si>
    <t>Հեռախոսային վաճառքի ավագ մասնագետ</t>
  </si>
  <si>
    <t>Հեռախոսային վաճառքի գործակալ</t>
  </si>
  <si>
    <t>Մարքեթինգ</t>
  </si>
  <si>
    <t>Մարքեթինգի ղեկավար</t>
  </si>
  <si>
    <t>Performance Marketing մասնագետ</t>
  </si>
  <si>
    <t>SMM մասնագետ</t>
  </si>
  <si>
    <t>D2D — ԱՌԱՆՁԻՆ ՀՈԴՎԱԾ (Կոմերցիոն բաժնի կազմում, հաշվարկը՝ առանձին)</t>
  </si>
  <si>
    <t>D2D գործակալ</t>
  </si>
  <si>
    <t>ԸՆԴԱՄԵՆԸ D2D</t>
  </si>
  <si>
    <t>ԸՆԴԱՄԵՆԸ Կոմերցիոն առանց D2D</t>
  </si>
  <si>
    <t>ԸՆԴԱՄԵՆԸ Կոմերցիոն (D2D-ով)</t>
  </si>
  <si>
    <t>ՏԵԽՆԻԿԱԿԱՆ</t>
  </si>
  <si>
    <t>Ներտնային սպասարկում</t>
  </si>
  <si>
    <t>Ներտնային սպասարկման խմբի ղեկավար</t>
  </si>
  <si>
    <t>Տեխնիկական բաժնի ղեկավար</t>
  </si>
  <si>
    <t>Ներտնային սպասարկման մասնագետ</t>
  </si>
  <si>
    <t>Տեղադրում</t>
  </si>
  <si>
    <t>Տեղադրման խմբի ղեկավար</t>
  </si>
  <si>
    <t>Տեղադրման ավագ մասնագետ</t>
  </si>
  <si>
    <t>Տեղադրման մասնագետ</t>
  </si>
  <si>
    <t>Ցանցի կառուցում</t>
  </si>
  <si>
    <t>Ցանցի կառուցման խմբի ղեկավար</t>
  </si>
  <si>
    <t>Լարանցման ավագ մասնագետ</t>
  </si>
  <si>
    <t>Լարանցման մասնագետ</t>
  </si>
  <si>
    <t>Եռակցման ավագ մասնագետ</t>
  </si>
  <si>
    <t>Եռակցման մասնագետ</t>
  </si>
  <si>
    <t>Տեխնիկական ապահովում</t>
  </si>
  <si>
    <t>Սարքավորումների կարգավորման մասնագետ</t>
  </si>
  <si>
    <t>Ապրանքանյութական արժեքների պատասխանատու</t>
  </si>
  <si>
    <t>NOC, Մոնիտորինգի և Backup մասնագետ</t>
  </si>
  <si>
    <t>L2 մասնագետ</t>
  </si>
  <si>
    <t>ԸՆԴԱՄԵՆԸ Տեխնիկական</t>
  </si>
  <si>
    <t>ՀԱՃԱԽՈՐԴՆԵՐԻ ՍՊԱՍԱՐԿՈՒՄ</t>
  </si>
  <si>
    <t>Հաճախորդների սպասարկման ղեկավար (+ՈԱ +Բողոք/Պահպանում)</t>
  </si>
  <si>
    <t>Զանգերի կենտրոնի ավագ օպերատոր</t>
  </si>
  <si>
    <t>Հաճախորդների սպասարկման ղեկավար</t>
  </si>
  <si>
    <t>L &amp; R մասնագետ</t>
  </si>
  <si>
    <t>Զանգերի կենտրոնի օպերատոր</t>
  </si>
  <si>
    <t>ԸՆԴԱՄԵՆԸ Հաճախորդների սպասարկում</t>
  </si>
  <si>
    <t>ԲԻԼԻՆԳ ԵՎ ԵԿԱՄՈՒՏ</t>
  </si>
  <si>
    <t>Բիլինգի և եկամտի ղեկավար (+Համադրում/Աուդիտ)</t>
  </si>
  <si>
    <t>Բիլինգի և եկամտի մասնագետ</t>
  </si>
  <si>
    <t>Բիլինգի և եկամտի ղեկավար</t>
  </si>
  <si>
    <t>ԸՆԴԱՄԵՆԸ Բիլինգ և եկամուտ</t>
  </si>
  <si>
    <t>ԴՈՒՐՍ ԳՈՐԾԱՌՆԱԿԱՆ ՊԱՅՄԱՆԱԳՐԵՐ (ԱՁ) — ՀԱՍՏԻՔԱՑՈՒՑԱԿԻՑ ԴՈՒՐՍ</t>
  </si>
  <si>
    <t>ԱՁ պայմանագիր</t>
  </si>
  <si>
    <t>Դուրս գործառնական</t>
  </si>
  <si>
    <t>Հավաքագրման մասնագետ</t>
  </si>
  <si>
    <t>Գործադիր տնօրեն</t>
  </si>
  <si>
    <t>Իրավաբան</t>
  </si>
  <si>
    <t>ԸՆԴԱՄԵՆԸ ԱՁ (հաստիք չէ)</t>
  </si>
  <si>
    <t>ԸՆԴԱՄԵՆԸ ԴՐԱՄԱԿԱՆ ԵԼՔ  (52 հաստիք + 2 ԱՁ)</t>
  </si>
  <si>
    <t>52 հաստիք + 2 ԱՁ պայմանագիր։ CEO / CTO / S&amp;O ներառված չէ (+3) — ընդհանուր կառուցվածքը՝ 57։</t>
  </si>
  <si>
    <t>ՎՃԱՐՄԱՆ ՄՈԴԵԼՆԵՐ և ՊԱՐՏԱԴԻՐ ՎՃԱՐՆԵՐ</t>
  </si>
  <si>
    <t>ՄՈԴԵԼ Ա — ՖԻՔՍ + KPI ԲՈՆՈՒՍ</t>
  </si>
  <si>
    <t>ՄՈԴԵԼ Բ — D2D (ԻՆՉՔԱՆ ՎԱՃԱՌԵՑ, ԱՅՆՔԱՆ ՈՒՆԻ)</t>
  </si>
  <si>
    <t>Կատարման միջակայք</t>
  </si>
  <si>
    <t>Ցածր սահման</t>
  </si>
  <si>
    <t>Բոնուս ֆիքսից</t>
  </si>
  <si>
    <t>Պարամետր</t>
  </si>
  <si>
    <t>Արժեք</t>
  </si>
  <si>
    <t>Մեկնաբանություն</t>
  </si>
  <si>
    <t>&lt; 80%</t>
  </si>
  <si>
    <t>Ամսական թիրախ (փաթեթ)</t>
  </si>
  <si>
    <t>Ամսական թիրախը՝ փաթեթների քանակով</t>
  </si>
  <si>
    <t>80–89%</t>
  </si>
  <si>
    <t>Փաթեթի միջին սակագին</t>
  </si>
  <si>
    <t>Միջին ամսավճար՝ 1 փաթեթի</t>
  </si>
  <si>
    <t>90–99%</t>
  </si>
  <si>
    <t>Ֆիքսի վճարման շեմ (պլանի %)</t>
  </si>
  <si>
    <t>Էս շեմից ցածր ֆիքս չի վճարվում, սակագինը՝ այո</t>
  </si>
  <si>
    <t>100–119%</t>
  </si>
  <si>
    <t>Բոնուս՝ սակագնի %</t>
  </si>
  <si>
    <t>Վաճառած սակագների 100%-ը, առաստաղ չկա</t>
  </si>
  <si>
    <t>≥ 120%</t>
  </si>
  <si>
    <t>Ֆիքս՝ երաշխավորված</t>
  </si>
  <si>
    <t>Վճարվում է շեմը հատելու դեպքում</t>
  </si>
  <si>
    <t>ՄՈԴԵԼ Բ — ԾԱՎԱԼԻ ԱՂՅՈՒՍԱԿ</t>
  </si>
  <si>
    <t>Վաճառված փաթեթ</t>
  </si>
  <si>
    <t>Կատարում %</t>
  </si>
  <si>
    <t>Ֆիքսը վճարվո՞ւմ է</t>
  </si>
  <si>
    <t>Ֆիքս</t>
  </si>
  <si>
    <t>Սակագնից</t>
  </si>
  <si>
    <t>Ընդամենը 1 գործակալ</t>
  </si>
  <si>
    <t>× D2D հաստիքների քանակ</t>
  </si>
  <si>
    <t>Ոչինչ չի վաճառել</t>
  </si>
  <si>
    <t>Շեմից ցածր — ֆիքս չկա, սակագինը՝ այո</t>
  </si>
  <si>
    <t>Հենց շեմին (80%) — ֆիքսը միանում է</t>
  </si>
  <si>
    <t>Թիրախ</t>
  </si>
  <si>
    <t>Թիրախից վեր</t>
  </si>
  <si>
    <t>Առաստաղ չկա</t>
  </si>
  <si>
    <t>ՄՈԴԵԼ Բ — ՎԱՐՁԱՏՐՈՒԹՅՈՒՆ ԸՍՏ ՍՑԵՆԱՐԻ</t>
  </si>
  <si>
    <t>Սցենար</t>
  </si>
  <si>
    <t>Ենթադրվող կատարում</t>
  </si>
  <si>
    <t>Շեմից ցածր — ֆիքս չկա, միայն սակագին</t>
  </si>
  <si>
    <t>Հենց շեմին — ֆիքսը միանում է</t>
  </si>
  <si>
    <t>Ֆիքս + սակագին</t>
  </si>
  <si>
    <t>ՄՈԴԵԼ Գ — ԱՁ / OUTSOURCING (ՄՈԴԵԼԻ ԲԱՑԱՌՈՒԹՅՈՒՆՆԵՐ)</t>
  </si>
  <si>
    <t>Պաշտոն</t>
  </si>
  <si>
    <t>Տիպ</t>
  </si>
  <si>
    <t>Ապահովագրության բազա</t>
  </si>
  <si>
    <t>ԱՁ</t>
  </si>
  <si>
    <t>—</t>
  </si>
  <si>
    <t>ԱՁ՝ ծառայության պայմանագրով։ Ընկերությունը հարկ չի պահում — ինքն է վճարում։</t>
  </si>
  <si>
    <t>ԱՁ՝ ծառայության պայմանագրով։ Ընկերությունը հարկ չի պահում։</t>
  </si>
  <si>
    <t>D2D</t>
  </si>
  <si>
    <t>Մոդել Բ։ Ֆիքս 70,000 + թիրախային ծավալի սակագին 80,000 = 150,000։ Այս թիվն է որոշում ապահովագրության խումբը։</t>
  </si>
  <si>
    <t>ՎՃԱՐՄԱՆ ՄՈԴԵԼՆԵՐ — ԱՄՓՈՓՈՒՄ</t>
  </si>
  <si>
    <t>Ո՞ւմ վրա է կիրառվում</t>
  </si>
  <si>
    <t>Ինչպե՞ս է հաշվարկվում</t>
  </si>
  <si>
    <t>Ա. Ֆիքս + KPI բոնուս</t>
  </si>
  <si>
    <t>Բոլոր պաշտոնները, բացի Բ և Գ-ից</t>
  </si>
  <si>
    <t>Ֆիքս + (Ֆիքս × բոնուսի աստիճան)։ Աստիճանը՝ KPI-ի կշռված կատարմամբ։</t>
  </si>
  <si>
    <t>Բ. D2D</t>
  </si>
  <si>
    <t>Ֆիքսը՝ միայն պլանի 80%-ը հատելու դեպքում՝ գումարած վաճառած սակագների 100%-ը։ Շեմից ցածր՝ միայն սակագինը։ Առաստաղ չկա։</t>
  </si>
  <si>
    <t>Գ. ԱՁ / Outsourcing</t>
  </si>
  <si>
    <t>Հավաքագրող, Իրավաբան</t>
  </si>
  <si>
    <t>Միայն հաշիվ-ապրանքագրի գումարը։ Ընկերությունը հարկ չի պահում։</t>
  </si>
  <si>
    <t>ՓՈՐՁԱՇՐՋԱՆ (3 ամիս)</t>
  </si>
  <si>
    <t>Ժամանակահատված</t>
  </si>
  <si>
    <t>Ֆիքսի %</t>
  </si>
  <si>
    <t>Բոնուսի %</t>
  </si>
  <si>
    <t>1-ին ամիս</t>
  </si>
  <si>
    <t>2–3 ամիս</t>
  </si>
  <si>
    <t>4-րդ ամսից</t>
  </si>
  <si>
    <t>ՀԱՐԿԱՅԻՆ ՊԱՐԱՄԵՏՐԵՐ</t>
  </si>
  <si>
    <t>ՀՀ համահարթ դրույքաչափ</t>
  </si>
  <si>
    <t>Կուտակային կենսաթոշակ՝ 5%</t>
  </si>
  <si>
    <t>1 ÷ (1 − հարկ − սոց)</t>
  </si>
  <si>
    <t>Բոնուսի % ֆիքսից</t>
  </si>
  <si>
    <t>Շեմը՝ ֆիքս + բոնուս</t>
  </si>
  <si>
    <t>Աղբյուր՝ եկամտահարկ — ՀՀ Հարկային օրենսգիրք, հոդված 150 (20%՝ 2023թ.-ից) · սոցվճար — «Կուտակային կենսաթոշակների մասին» ՀՀ օրենք (5%)</t>
  </si>
  <si>
    <t>ԴՐՈՇՄԱՆԻՇԱՅԻՆ ՎՃԱՐ ԵՎ ԱՌՈՂՋՈՒԹՅԱՆ ԱՊԱՀՈՎԱԳՐՈՒԹՅՈՒՆ — ՍԱՆԴՂԱԿ</t>
  </si>
  <si>
    <t>Համախառն բազա</t>
  </si>
  <si>
    <t>Մինչև</t>
  </si>
  <si>
    <t>Դրոշմանիշային վճար</t>
  </si>
  <si>
    <t>Առողջության ապահովագրություն</t>
  </si>
  <si>
    <t>Համապատասխան զուտ սահման</t>
  </si>
  <si>
    <t>Մինչև 100 000</t>
  </si>
  <si>
    <t>100 001 – 200 000</t>
  </si>
  <si>
    <t>200 001 – 500 000</t>
  </si>
  <si>
    <t>500 001 – 1 000 000</t>
  </si>
  <si>
    <t>1 000 001 և ավելի</t>
  </si>
  <si>
    <t>Աղբյուր՝ «Դրոշմանիշային վճարների մասին» ՀՀ օրենք, հոդված 12, մաս 1, կետ 1 (գործող խմբագրություն) — arlis.am/hy/acts/218669</t>
  </si>
  <si>
    <t>KPI ՄՈԴԵԼ — ՊԱՇՏՈՆ, ՑՈՒՑԱՆԻՇ, ԿՇԻՌ</t>
  </si>
  <si>
    <t>Ամեն պաշտոնի կատարումը չափվում է ներքևում նշված ցուցանիշներով։ Կշիռների գումարը յուրաքանչյուր պաշտոնի համար 100% է։ Կատարման աստիճանն ու բոնուսի տոկոսը՝ «Մոդելներ և պարտադիր վճարներ» շիթում։ ՍԱՀՄԱՆՈՒՄ՝ վաճառք է համարվում միայն ակտիվացած գործարքը։</t>
  </si>
  <si>
    <t>ՊԱՇՏՈՆ → ՑՈՒՑԱՆԻՇ → ԿՇԻՌ</t>
  </si>
  <si>
    <t>KPI ցուցանիշ</t>
  </si>
  <si>
    <t>Կշիռ</t>
  </si>
  <si>
    <t>Ուղղություն</t>
  </si>
  <si>
    <t>Չափման միավոր</t>
  </si>
  <si>
    <t>Աղբյուր</t>
  </si>
  <si>
    <t>Բաժնի վաճառքի պլանի կատարում</t>
  </si>
  <si>
    <t>աճող</t>
  </si>
  <si>
    <t>%</t>
  </si>
  <si>
    <t>Բիլինգ</t>
  </si>
  <si>
    <t>Վաճառքի թիմի պլանի կատարում</t>
  </si>
  <si>
    <t>CRM</t>
  </si>
  <si>
    <t>Հեռախոսային վաճառքի թիմի պլանի կատարում</t>
  </si>
  <si>
    <t>Մարքեթինգի լիդերի փոխարկում վաճառքի</t>
  </si>
  <si>
    <t>Ավագի անձնական վաճառք (ակտիվացած)</t>
  </si>
  <si>
    <t>հատ</t>
  </si>
  <si>
    <t>Ենթակա վաճառքի մասնագետների պլանի կատարում</t>
  </si>
  <si>
    <t>Փաթեթի բարձրացումների քանակ (upsell)</t>
  </si>
  <si>
    <t>CRM-ի գործարքների լրացվածություն</t>
  </si>
  <si>
    <t>Մասնագետի անձնական վաճառք (ակտիվացած)</t>
  </si>
  <si>
    <t>Հանդիպում → վաճառք փոխարկում</t>
  </si>
  <si>
    <t>Գործարքի փաստաթղթային ճշտություն</t>
  </si>
  <si>
    <t>Անձնական հեռավաճառք (ակտիվացած)</t>
  </si>
  <si>
    <t>Ենթակա գործակալների պլանի կատարում</t>
  </si>
  <si>
    <t>Խմբի զանգ → վաճառք փոխարկում</t>
  </si>
  <si>
    <t>PBX</t>
  </si>
  <si>
    <t>Խմբի զանգերի նորմայի կատարում</t>
  </si>
  <si>
    <t>Հեռավաճառք (ակտիվացած)</t>
  </si>
  <si>
    <t>Զանգ → վաճառք փոխարկում</t>
  </si>
  <si>
    <t>Օրական զանգերի նորմայի կատարում</t>
  </si>
  <si>
    <t>KPI չի կիրառվում</t>
  </si>
  <si>
    <t>Մարքեթինգից եկած վաճառքի քանակ</t>
  </si>
  <si>
    <t>Լիդի արժեք (CPL) նորմայի մեջ</t>
  </si>
  <si>
    <t>նվազող</t>
  </si>
  <si>
    <t>֏</t>
  </si>
  <si>
    <t>Ads վահանակ</t>
  </si>
  <si>
    <t>Performance ուղղության պլանի կատարում</t>
  </si>
  <si>
    <t>SMM ուղղության պլանի կատարում</t>
  </si>
  <si>
    <t>Վճարովի գովազդի լիդերի քանակ</t>
  </si>
  <si>
    <t>Վճարովի լիդի արժեք (CPL)</t>
  </si>
  <si>
    <t>Վճարովի լիդ → վաճառք փոխարկում</t>
  </si>
  <si>
    <t>Բովանդակության պլանի կատարում</t>
  </si>
  <si>
    <t>Excel</t>
  </si>
  <si>
    <t>Օրգանական հասման աճ</t>
  </si>
  <si>
    <t>Meta Business Suite</t>
  </si>
  <si>
    <t>Սոց. ցանցերից եկած լիդեր</t>
  </si>
  <si>
    <t>Ներտնային հայտերի փակման պլան</t>
  </si>
  <si>
    <t>Ներտնային SLA-ի կատարում</t>
  </si>
  <si>
    <t>Կրկնվող հայտերի մասնաբաժին</t>
  </si>
  <si>
    <t>Խմբի հաստիքների զբաղվածություն</t>
  </si>
  <si>
    <t>Փակված ներտնային հայտեր</t>
  </si>
  <si>
    <t>Ներտնային SLA-ի մեջ լուծում</t>
  </si>
  <si>
    <t>Կրկնվող հայտի բացակայություն</t>
  </si>
  <si>
    <t>Տեղադրումների պլանի կատարում</t>
  </si>
  <si>
    <t>Տեղադրման SLA</t>
  </si>
  <si>
    <t>Նոր վաճառքի ակտիվացման ժամկետ</t>
  </si>
  <si>
    <t>օր</t>
  </si>
  <si>
    <t>Նյութի ծախսի նորմայի պահպանում</t>
  </si>
  <si>
    <t>Անձնական տեղադրումների քանակ</t>
  </si>
  <si>
    <t>Ենթակա տեղադրողների պլանի կատարում</t>
  </si>
  <si>
    <t>Տեղադրման SLA (խմբի)</t>
  </si>
  <si>
    <t>Կրկնակի այցի բացակայություն</t>
  </si>
  <si>
    <t>Կատարված տեղադրումներ</t>
  </si>
  <si>
    <t>Տեղադրման ժամկետի պահպանում</t>
  </si>
  <si>
    <t>Կրկնակի այցի բացակայություն (անձնական)</t>
  </si>
  <si>
    <t>Ցանցի կառուցման պլանի կատարում</t>
  </si>
  <si>
    <t>Լարանցման խմբի պլանի կատարում</t>
  </si>
  <si>
    <t>Եռակցման խմբի պլանի կատարում</t>
  </si>
  <si>
    <t>Կառուցման նյութի ծախս նորմայի մեջ</t>
  </si>
  <si>
    <t>Անձնական լարանցման ծավալ</t>
  </si>
  <si>
    <t>մետր</t>
  </si>
  <si>
    <t>Ենթակա լարանցողների պլանի կատարում</t>
  </si>
  <si>
    <t>Լարանցման ժամկետների պահպանում (խմբի)</t>
  </si>
  <si>
    <t>Վերալարանցման բացակայություն</t>
  </si>
  <si>
    <t>Լարանցման ծավալ</t>
  </si>
  <si>
    <t>Լարանցման ժամկետի պահպանում</t>
  </si>
  <si>
    <t>Վերալարանցման բացակայություն (անձնական)</t>
  </si>
  <si>
    <t>Անձնական եռակցումների քանակ</t>
  </si>
  <si>
    <t>Ենթակա եռակցողների պլանի կատարում</t>
  </si>
  <si>
    <t>Եռակցման կորուստը նորմայի մեջ (խմբի)</t>
  </si>
  <si>
    <t>dB</t>
  </si>
  <si>
    <t>Մոնիտորինգ</t>
  </si>
  <si>
    <t>Կրկնակի եռակցման բացակայություն</t>
  </si>
  <si>
    <t>Եռակցումների քանակ</t>
  </si>
  <si>
    <t>Եռակցման կորուստը նորմայի մեջ</t>
  </si>
  <si>
    <t>Կրկնակի եռակցման բացակայություն (անձնական)</t>
  </si>
  <si>
    <t>Կարգավորված սարքավորումների քանակ</t>
  </si>
  <si>
    <t>Կարգավորման ժամկետի պահպանում</t>
  </si>
  <si>
    <t>Սարքի խափանում կարգավորումից հետո</t>
  </si>
  <si>
    <t>Գույքագրման ճշտություն</t>
  </si>
  <si>
    <t>Պահեստի շարժի փաստաթղթավորման ժամկետ</t>
  </si>
  <si>
    <t>Նյութի պակասորդ</t>
  </si>
  <si>
    <t>Ցանցի հասանելիություն (uptime)</t>
  </si>
  <si>
    <t>Ինցիդենտի հայտնաբերման ժամանակ</t>
  </si>
  <si>
    <t>րոպե</t>
  </si>
  <si>
    <t>Backup-ի պլանի կատարում</t>
  </si>
  <si>
    <t>Լուծված L2 էսկալացիաներ</t>
  </si>
  <si>
    <t>L2 ինցիդենտի լուծման միջին ժամանակ</t>
  </si>
  <si>
    <t>ժամ</t>
  </si>
  <si>
    <t>Կրկնվող էսկալացիայի բացակայություն</t>
  </si>
  <si>
    <t>Զանգերի կենտրոնի սպասարկման մակարդակ</t>
  </si>
  <si>
    <t>Բողոքների լուծման ժամկետ</t>
  </si>
  <si>
    <t>Հաճախորդների պահպանման մակարդակ</t>
  </si>
  <si>
    <t>Որակի ապահովման (ՈԱ) գնահատական</t>
  </si>
  <si>
    <t>Ենթակա օպերատորների պլանի կատարում</t>
  </si>
  <si>
    <t>Անձնական սպասարկված զանգեր</t>
  </si>
  <si>
    <t>Առաջին կոնտակտով լուծում (FCR)</t>
  </si>
  <si>
    <t>Խմբի բաց թողած զանգեր</t>
  </si>
  <si>
    <t>Պահպանված հաճախորդների քանակ</t>
  </si>
  <si>
    <t>Churn % նորմայի մեջ</t>
  </si>
  <si>
    <t>Վերադարձված (win-back) հաճախորդներ</t>
  </si>
  <si>
    <t>Սպասարկված զանգերի քանակ</t>
  </si>
  <si>
    <t>Առաջին կոնտակտով լուծում (FCR, անձնական)</t>
  </si>
  <si>
    <t>Անձնական բաց թողած զանգեր</t>
  </si>
  <si>
    <t>Եկամտի հավաքագրման մակարդակ</t>
  </si>
  <si>
    <t>Հաշվարկների ճշտություն</t>
  </si>
  <si>
    <t>Ամսական փակման ժամկետ</t>
  </si>
  <si>
    <t>Համադրման անհամապատասխանություններ</t>
  </si>
  <si>
    <t>Ժամանակին դուրս գրված հաշիվներ</t>
  </si>
  <si>
    <t>Ժամկետանց պարտքի հավաքագրում</t>
  </si>
  <si>
    <t>Հաշվարկային սխալների քանակ</t>
  </si>
  <si>
    <t>Վարչական</t>
  </si>
  <si>
    <t>Ամեն պաշտոն ունի իր սեփական ցուցանիշները՝ նույն KPI-ն երկու տարբեր պաշտոնի վրա չի կիրառվում։ Ավագ մասնագետները չափվում են նաև ենթակա խմբի արդյունքով՝ որ շահագրգռված լինեն վերահսկելու։ D2D գործակալը և ԱՁ պաշտոնները KPI չունեն՝ վարձատրությունը ծավալային և պայմանագրային է։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</si>
</sst>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0"/>
    <numFmt numFmtId="166" formatCode="#,##0;\(#,##0\);0"/>
    <numFmt numFmtId="167" formatCode="0.0"/>
    <numFmt numFmtId="168" formatCode="#,##0;\(#,##0\);\-"/>
  </numFmts>
  <fonts count="33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20"/>
      <color rgb="FF1C3B68"/>
      <name val="Arial"/>
      <family val="2"/>
      <charset val="1"/>
    </font>
    <font>
      <b/>
      <sz val="20"/>
      <color rgb="FF38761D"/>
      <name val="Arial"/>
      <family val="2"/>
      <charset val="1"/>
    </font>
    <font>
      <b/>
      <sz val="20"/>
      <color rgb="FFB45F06"/>
      <name val="Arial"/>
      <family val="2"/>
      <charset val="1"/>
    </font>
    <font>
      <b/>
      <sz val="20"/>
      <color rgb="FF5B2C87"/>
      <name val="Arial"/>
      <family val="2"/>
      <charset val="1"/>
    </font>
    <font>
      <i/>
      <sz val="8"/>
      <color rgb="FF7F7F7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2"/>
      <color rgb="FF1C3B68"/>
      <name val="Arial"/>
      <family val="2"/>
      <charset val="1"/>
    </font>
    <font>
      <b/>
      <sz val="16"/>
      <color rgb="FF38761D"/>
      <name val="Arial"/>
      <family val="2"/>
      <charset val="1"/>
    </font>
    <font>
      <b/>
      <sz val="12"/>
      <color rgb="FFB45F06"/>
      <name val="Arial"/>
      <family val="2"/>
      <charset val="1"/>
    </font>
    <font>
      <b/>
      <sz val="12"/>
      <color rgb="FF5B2C87"/>
      <name val="Arial"/>
      <family val="2"/>
      <charset val="1"/>
    </font>
    <font>
      <b/>
      <sz val="10"/>
      <color rgb="FF1C3B68"/>
      <name val="Arial"/>
      <family val="2"/>
      <charset val="1"/>
    </font>
    <font>
      <b/>
      <sz val="9"/>
      <color rgb="FF1C3B68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2"/>
      <color rgb="FF38761D"/>
      <name val="Arial"/>
      <family val="2"/>
      <charset val="1"/>
    </font>
    <font>
      <i/>
      <sz val="9"/>
      <color rgb="FF7F7F7F"/>
      <name val="Arial"/>
      <family val="2"/>
      <charset val="1"/>
    </font>
    <font>
      <b/>
      <sz val="10"/>
      <color rgb="FF1D2330"/>
      <name val="Calibri"/>
      <family val="2"/>
      <charset val="1"/>
    </font>
    <font>
      <b/>
      <sz val="14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0"/>
      <name val="Arial"/>
      <family val="2"/>
      <charset val="1"/>
    </font>
    <font>
      <b/>
      <i/>
      <sz val="10"/>
      <color rgb="FF595959"/>
      <name val="Arial"/>
      <family val="2"/>
      <charset val="1"/>
    </font>
    <font>
      <i/>
      <sz val="10"/>
      <color rgb="FF595959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color rgb="FFFFD966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EDF3FB"/>
        <bgColor rgb="FFF2F2F2"/>
      </patternFill>
    </fill>
    <fill>
      <patternFill patternType="solid">
        <fgColor rgb="FF000000"/>
        <bgColor rgb="FF1D2330"/>
      </patternFill>
    </fill>
    <fill>
      <patternFill patternType="solid">
        <fgColor rgb="FF1C3B68"/>
        <bgColor rgb="FF1D2330"/>
      </patternFill>
    </fill>
    <fill>
      <patternFill patternType="solid">
        <fgColor rgb="FF38761D"/>
        <bgColor rgb="FF2E7D32"/>
      </patternFill>
    </fill>
    <fill>
      <patternFill patternType="solid">
        <fgColor rgb="FFB45F06"/>
        <bgColor rgb="FFFF6600"/>
      </patternFill>
    </fill>
    <fill>
      <patternFill patternType="solid">
        <fgColor rgb="FF5B2C87"/>
        <bgColor rgb="FF7030A0"/>
      </patternFill>
    </fill>
    <fill>
      <patternFill patternType="solid">
        <fgColor rgb="FFF7F9FC"/>
        <bgColor rgb="FFF2F7FF"/>
      </patternFill>
    </fill>
    <fill>
      <patternFill patternType="solid">
        <fgColor rgb="FFC6EFCE"/>
        <bgColor rgb="FFD9EAD3"/>
      </patternFill>
    </fill>
    <fill>
      <patternFill patternType="solid">
        <fgColor rgb="FFFFEB9C"/>
        <bgColor rgb="FFFCE5CD"/>
      </patternFill>
    </fill>
    <fill>
      <patternFill patternType="solid">
        <fgColor rgb="FFDDEBF7"/>
        <bgColor rgb="FFD9E2F3"/>
      </patternFill>
    </fill>
    <fill>
      <patternFill patternType="solid">
        <fgColor rgb="FFF2F2F2"/>
        <bgColor rgb="FFEDF3FB"/>
      </patternFill>
    </fill>
    <fill>
      <patternFill patternType="solid">
        <fgColor rgb="FFFFFFFF"/>
        <bgColor rgb="FFF7F9FC"/>
      </patternFill>
    </fill>
    <fill>
      <patternFill patternType="solid">
        <fgColor rgb="FFEAE2D0"/>
        <bgColor rgb="FFFCE5CD"/>
      </patternFill>
    </fill>
    <fill>
      <patternFill patternType="solid">
        <fgColor rgb="FFD9E2F3"/>
        <bgColor rgb="FFDDEBF7"/>
      </patternFill>
    </fill>
    <fill>
      <patternFill patternType="solid">
        <fgColor rgb="FF2E5C8A"/>
        <bgColor rgb="FF595959"/>
      </patternFill>
    </fill>
    <fill>
      <patternFill patternType="solid">
        <fgColor rgb="FFFFF9E6"/>
        <bgColor rgb="FFF7F9FC"/>
      </patternFill>
    </fill>
    <fill>
      <patternFill patternType="solid">
        <fgColor rgb="FFF2F7FF"/>
        <bgColor rgb="FFF7F9FC"/>
      </patternFill>
    </fill>
    <fill>
      <patternFill patternType="solid">
        <fgColor rgb="FFFFC7CE"/>
        <bgColor indexed="64"/>
      </patternFill>
    </fill>
    <fill>
      <patternFill patternType="solid">
        <fgColor rgb="FFFCE4D6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theme="0"/>
      </left>
      <right style="thin">
        <color rgb="FFBFBFBF"/>
      </right>
      <top/>
      <bottom style="medium">
        <color theme="0"/>
      </bottom>
      <diagonal/>
    </border>
    <border>
      <left style="thin">
        <color rgb="FFBFBFBF"/>
      </left>
      <right style="thin">
        <color rgb="FFBFBFBF"/>
      </right>
      <top/>
      <bottom style="medium">
        <color theme="0"/>
      </bottom>
      <diagonal/>
    </border>
    <border>
      <left/>
      <right style="thin">
        <color rgb="FFBFBFBF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9" fillId="4" borderId="1" xfId="0" applyFont="1" applyFill="1" applyBorder="1" applyAlignment="1">
      <alignment horizontal="center" vertical="center"/>
    </xf>
    <xf numFmtId="3" fontId="7" fillId="8" borderId="4" xfId="0" applyNumberFormat="1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top"/>
    </xf>
    <xf numFmtId="0" fontId="8" fillId="8" borderId="5" xfId="0" applyFont="1" applyFill="1" applyBorder="1" applyAlignment="1">
      <alignment horizontal="center" vertical="top"/>
    </xf>
    <xf numFmtId="164" fontId="7" fillId="8" borderId="4" xfId="0" applyNumberFormat="1" applyFont="1" applyFill="1" applyBorder="1" applyAlignment="1">
      <alignment horizontal="center" vertical="center"/>
    </xf>
    <xf numFmtId="3" fontId="6" fillId="8" borderId="3" xfId="0" applyNumberFormat="1" applyFont="1" applyFill="1" applyBorder="1" applyAlignment="1">
      <alignment horizontal="center" vertical="center"/>
    </xf>
    <xf numFmtId="3" fontId="5" fillId="8" borderId="3" xfId="0" applyNumberFormat="1" applyFont="1" applyFill="1" applyBorder="1" applyAlignment="1">
      <alignment horizontal="center" vertical="center"/>
    </xf>
    <xf numFmtId="3" fontId="4" fillId="8" borderId="3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Alignment="1"/>
    <xf numFmtId="0" fontId="0" fillId="2" borderId="0" xfId="0" applyFill="1" applyAlignment="1"/>
    <xf numFmtId="0" fontId="14" fillId="12" borderId="7" xfId="0" applyFont="1" applyFill="1" applyBorder="1" applyAlignment="1">
      <alignment horizontal="center" vertical="center" wrapText="1"/>
    </xf>
    <xf numFmtId="0" fontId="15" fillId="12" borderId="7" xfId="0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left" vertical="center"/>
    </xf>
    <xf numFmtId="3" fontId="16" fillId="13" borderId="7" xfId="0" applyNumberFormat="1" applyFont="1" applyFill="1" applyBorder="1" applyAlignment="1">
      <alignment horizontal="center" vertical="center"/>
    </xf>
    <xf numFmtId="164" fontId="16" fillId="13" borderId="7" xfId="0" applyNumberFormat="1" applyFont="1" applyFill="1" applyBorder="1" applyAlignment="1">
      <alignment horizontal="center" vertical="center"/>
    </xf>
    <xf numFmtId="3" fontId="17" fillId="14" borderId="7" xfId="0" applyNumberFormat="1" applyFont="1" applyFill="1" applyBorder="1" applyAlignment="1">
      <alignment horizontal="center" vertical="center"/>
    </xf>
    <xf numFmtId="164" fontId="17" fillId="14" borderId="7" xfId="0" applyNumberFormat="1" applyFont="1" applyFill="1" applyBorder="1" applyAlignment="1">
      <alignment horizontal="center" vertical="center"/>
    </xf>
    <xf numFmtId="0" fontId="16" fillId="13" borderId="7" xfId="0" applyFont="1" applyFill="1" applyBorder="1" applyAlignment="1">
      <alignment horizontal="center" vertical="center"/>
    </xf>
    <xf numFmtId="165" fontId="16" fillId="13" borderId="7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2" fillId="3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10" xfId="0" applyNumberFormat="1" applyFont="1" applyFill="1" applyBorder="1" applyAlignment="1">
      <alignment horizontal="center" vertical="center" wrapText="1"/>
    </xf>
    <xf numFmtId="3" fontId="2" fillId="4" borderId="11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3" fontId="2" fillId="16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/>
    <xf numFmtId="166" fontId="0" fillId="0" borderId="7" xfId="0" applyNumberFormat="1" applyBorder="1" applyAlignment="1"/>
    <xf numFmtId="0" fontId="2" fillId="4" borderId="12" xfId="0" applyFont="1" applyFill="1" applyBorder="1" applyAlignment="1">
      <alignment horizontal="left" vertical="center"/>
    </xf>
    <xf numFmtId="0" fontId="23" fillId="0" borderId="6" xfId="0" applyFont="1" applyBorder="1" applyAlignment="1">
      <alignment horizontal="left" vertical="center" indent="1"/>
    </xf>
    <xf numFmtId="0" fontId="23" fillId="0" borderId="6" xfId="0" applyFont="1" applyBorder="1" applyAlignment="1">
      <alignment horizontal="left" vertical="center" wrapText="1" indent="1"/>
    </xf>
    <xf numFmtId="167" fontId="23" fillId="0" borderId="6" xfId="0" applyNumberFormat="1" applyFont="1" applyBorder="1" applyAlignment="1">
      <alignment horizontal="center" vertical="center" wrapText="1" indent="1"/>
    </xf>
    <xf numFmtId="166" fontId="23" fillId="0" borderId="6" xfId="0" applyNumberFormat="1" applyFont="1" applyBorder="1" applyAlignment="1">
      <alignment horizontal="center" vertical="center"/>
    </xf>
    <xf numFmtId="168" fontId="16" fillId="13" borderId="6" xfId="0" applyNumberFormat="1" applyFont="1" applyFill="1" applyBorder="1" applyAlignment="1">
      <alignment horizontal="center" vertical="center"/>
    </xf>
    <xf numFmtId="166" fontId="24" fillId="17" borderId="7" xfId="0" applyNumberFormat="1" applyFont="1" applyFill="1" applyBorder="1" applyAlignment="1">
      <alignment horizontal="center" vertical="center"/>
    </xf>
    <xf numFmtId="166" fontId="16" fillId="13" borderId="7" xfId="0" applyNumberFormat="1" applyFont="1" applyFill="1" applyBorder="1" applyAlignment="1">
      <alignment horizontal="center" vertical="center"/>
    </xf>
    <xf numFmtId="166" fontId="17" fillId="18" borderId="7" xfId="0" applyNumberFormat="1" applyFont="1" applyFill="1" applyBorder="1" applyAlignment="1">
      <alignment horizontal="center" vertical="center"/>
    </xf>
    <xf numFmtId="166" fontId="23" fillId="0" borderId="13" xfId="0" applyNumberFormat="1" applyFont="1" applyBorder="1" applyAlignment="1">
      <alignment horizontal="center" vertical="center"/>
    </xf>
    <xf numFmtId="166" fontId="23" fillId="0" borderId="14" xfId="0" applyNumberFormat="1" applyFont="1" applyBorder="1" applyAlignment="1">
      <alignment horizontal="center" vertical="center"/>
    </xf>
    <xf numFmtId="168" fontId="17" fillId="13" borderId="7" xfId="0" applyNumberFormat="1" applyFont="1" applyFill="1" applyBorder="1" applyAlignment="1">
      <alignment horizontal="left" vertical="center"/>
    </xf>
    <xf numFmtId="168" fontId="25" fillId="13" borderId="7" xfId="0" applyNumberFormat="1" applyFont="1" applyFill="1" applyBorder="1" applyAlignment="1">
      <alignment horizontal="left" vertical="center"/>
    </xf>
    <xf numFmtId="168" fontId="16" fillId="13" borderId="7" xfId="0" applyNumberFormat="1" applyFont="1" applyFill="1" applyBorder="1" applyAlignment="1">
      <alignment horizontal="left" vertical="center"/>
    </xf>
    <xf numFmtId="0" fontId="23" fillId="0" borderId="7" xfId="0" applyFont="1" applyBorder="1" applyAlignment="1">
      <alignment horizontal="left" vertical="center" indent="1"/>
    </xf>
    <xf numFmtId="0" fontId="23" fillId="0" borderId="7" xfId="0" applyFont="1" applyBorder="1" applyAlignment="1">
      <alignment horizontal="left" vertical="center" wrapText="1" indent="1"/>
    </xf>
    <xf numFmtId="167" fontId="23" fillId="0" borderId="7" xfId="0" applyNumberFormat="1" applyFont="1" applyBorder="1" applyAlignment="1">
      <alignment horizontal="center" vertical="center" wrapText="1" indent="1"/>
    </xf>
    <xf numFmtId="166" fontId="23" fillId="0" borderId="7" xfId="0" applyNumberFormat="1" applyFont="1" applyBorder="1" applyAlignment="1">
      <alignment horizontal="center" vertical="center"/>
    </xf>
    <xf numFmtId="168" fontId="16" fillId="13" borderId="7" xfId="0" applyNumberFormat="1" applyFont="1" applyFill="1" applyBorder="1" applyAlignment="1">
      <alignment horizontal="center" vertical="center"/>
    </xf>
    <xf numFmtId="166" fontId="23" fillId="0" borderId="12" xfId="0" applyNumberFormat="1" applyFont="1" applyBorder="1" applyAlignment="1">
      <alignment horizontal="center" vertical="center"/>
    </xf>
    <xf numFmtId="0" fontId="26" fillId="14" borderId="12" xfId="0" applyFont="1" applyFill="1" applyBorder="1" applyAlignment="1">
      <alignment horizontal="center" vertical="center"/>
    </xf>
    <xf numFmtId="166" fontId="26" fillId="14" borderId="7" xfId="0" applyNumberFormat="1" applyFont="1" applyFill="1" applyBorder="1" applyAlignment="1">
      <alignment horizontal="center" vertical="center"/>
    </xf>
    <xf numFmtId="166" fontId="26" fillId="14" borderId="15" xfId="0" applyNumberFormat="1" applyFont="1" applyFill="1" applyBorder="1" applyAlignment="1">
      <alignment horizontal="center" vertical="center"/>
    </xf>
    <xf numFmtId="168" fontId="26" fillId="14" borderId="7" xfId="0" applyNumberFormat="1" applyFont="1" applyFill="1" applyBorder="1" applyAlignment="1">
      <alignment horizontal="center" vertical="center"/>
    </xf>
    <xf numFmtId="168" fontId="27" fillId="14" borderId="7" xfId="0" applyNumberFormat="1" applyFont="1" applyFill="1" applyBorder="1" applyAlignment="1">
      <alignment horizontal="left" vertical="center"/>
    </xf>
    <xf numFmtId="168" fontId="17" fillId="14" borderId="7" xfId="0" applyNumberFormat="1" applyFont="1" applyFill="1" applyBorder="1" applyAlignment="1">
      <alignment horizontal="left" vertical="center"/>
    </xf>
    <xf numFmtId="0" fontId="28" fillId="0" borderId="7" xfId="0" applyFont="1" applyBorder="1" applyAlignment="1">
      <alignment horizontal="left"/>
    </xf>
    <xf numFmtId="0" fontId="29" fillId="0" borderId="7" xfId="0" applyFont="1" applyBorder="1" applyAlignment="1">
      <alignment horizontal="left"/>
    </xf>
    <xf numFmtId="0" fontId="17" fillId="4" borderId="12" xfId="0" applyFont="1" applyFill="1" applyBorder="1" applyAlignment="1">
      <alignment horizontal="left" vertical="center"/>
    </xf>
    <xf numFmtId="0" fontId="26" fillId="14" borderId="16" xfId="0" applyFont="1" applyFill="1" applyBorder="1" applyAlignment="1">
      <alignment horizontal="center" vertical="center"/>
    </xf>
    <xf numFmtId="166" fontId="26" fillId="14" borderId="2" xfId="0" applyNumberFormat="1" applyFont="1" applyFill="1" applyBorder="1" applyAlignment="1">
      <alignment horizontal="center" vertical="center"/>
    </xf>
    <xf numFmtId="168" fontId="26" fillId="14" borderId="2" xfId="0" applyNumberFormat="1" applyFont="1" applyFill="1" applyBorder="1" applyAlignment="1">
      <alignment horizontal="center" vertical="center"/>
    </xf>
    <xf numFmtId="166" fontId="26" fillId="14" borderId="1" xfId="0" applyNumberFormat="1" applyFont="1" applyFill="1" applyBorder="1" applyAlignment="1">
      <alignment horizontal="center" vertical="center"/>
    </xf>
    <xf numFmtId="0" fontId="21" fillId="15" borderId="7" xfId="0" applyFont="1" applyFill="1" applyBorder="1" applyAlignment="1">
      <alignment horizontal="center" vertical="center"/>
    </xf>
    <xf numFmtId="166" fontId="21" fillId="15" borderId="7" xfId="0" applyNumberFormat="1" applyFont="1" applyFill="1" applyBorder="1" applyAlignment="1">
      <alignment horizontal="center" vertical="center"/>
    </xf>
    <xf numFmtId="166" fontId="21" fillId="15" borderId="15" xfId="0" applyNumberFormat="1" applyFont="1" applyFill="1" applyBorder="1" applyAlignment="1">
      <alignment horizontal="center" vertical="center"/>
    </xf>
    <xf numFmtId="0" fontId="30" fillId="4" borderId="4" xfId="0" applyFont="1" applyFill="1" applyBorder="1" applyAlignment="1">
      <alignment horizontal="center" vertical="center" wrapText="1"/>
    </xf>
    <xf numFmtId="166" fontId="30" fillId="4" borderId="4" xfId="0" applyNumberFormat="1" applyFont="1" applyFill="1" applyBorder="1" applyAlignment="1">
      <alignment horizontal="center" vertical="center"/>
    </xf>
    <xf numFmtId="168" fontId="30" fillId="4" borderId="4" xfId="0" applyNumberFormat="1" applyFont="1" applyFill="1" applyBorder="1" applyAlignment="1">
      <alignment horizontal="center" vertical="center"/>
    </xf>
    <xf numFmtId="166" fontId="30" fillId="4" borderId="3" xfId="0" applyNumberFormat="1" applyFont="1" applyFill="1" applyBorder="1" applyAlignment="1">
      <alignment horizontal="center" vertical="center"/>
    </xf>
    <xf numFmtId="168" fontId="30" fillId="4" borderId="7" xfId="0" applyNumberFormat="1" applyFont="1" applyFill="1" applyBorder="1" applyAlignment="1">
      <alignment horizontal="center" vertical="center"/>
    </xf>
    <xf numFmtId="166" fontId="30" fillId="4" borderId="7" xfId="0" applyNumberFormat="1" applyFont="1" applyFill="1" applyBorder="1" applyAlignment="1">
      <alignment horizontal="center" vertical="center"/>
    </xf>
    <xf numFmtId="166" fontId="0" fillId="0" borderId="0" xfId="0" applyNumberFormat="1" applyAlignment="1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right"/>
    </xf>
    <xf numFmtId="0" fontId="2" fillId="4" borderId="0" xfId="0" applyFont="1" applyFill="1" applyAlignment="1">
      <alignment horizontal="left" vertical="center"/>
    </xf>
    <xf numFmtId="0" fontId="31" fillId="13" borderId="7" xfId="0" applyFont="1" applyFill="1" applyBorder="1" applyAlignment="1">
      <alignment horizontal="left" vertical="center"/>
    </xf>
    <xf numFmtId="164" fontId="24" fillId="13" borderId="7" xfId="0" applyNumberFormat="1" applyFont="1" applyFill="1" applyBorder="1" applyAlignment="1">
      <alignment horizontal="center" vertical="center"/>
    </xf>
    <xf numFmtId="3" fontId="24" fillId="13" borderId="7" xfId="0" applyNumberFormat="1" applyFont="1" applyFill="1" applyBorder="1" applyAlignment="1">
      <alignment horizontal="center" vertical="center"/>
    </xf>
    <xf numFmtId="0" fontId="25" fillId="13" borderId="7" xfId="0" applyFont="1" applyFill="1" applyBorder="1" applyAlignment="1">
      <alignment horizontal="left" vertical="center"/>
    </xf>
    <xf numFmtId="3" fontId="24" fillId="13" borderId="7" xfId="0" applyNumberFormat="1" applyFont="1" applyFill="1" applyBorder="1" applyAlignment="1">
      <alignment horizontal="left" vertical="center"/>
    </xf>
    <xf numFmtId="0" fontId="24" fillId="13" borderId="7" xfId="0" applyFont="1" applyFill="1" applyBorder="1" applyAlignment="1">
      <alignment horizontal="center" vertical="center"/>
    </xf>
    <xf numFmtId="0" fontId="32" fillId="14" borderId="7" xfId="0" applyFont="1" applyFill="1" applyBorder="1" applyAlignment="1">
      <alignment horizontal="left" vertical="center"/>
    </xf>
    <xf numFmtId="0" fontId="32" fillId="14" borderId="7" xfId="0" applyFont="1" applyFill="1" applyBorder="1" applyAlignment="1">
      <alignment vertical="center"/>
    </xf>
    <xf numFmtId="0" fontId="31" fillId="13" borderId="6" xfId="0" applyFont="1" applyFill="1" applyBorder="1" applyAlignment="1">
      <alignment horizontal="left" vertical="center"/>
    </xf>
    <xf numFmtId="164" fontId="24" fillId="13" borderId="6" xfId="0" applyNumberFormat="1" applyFont="1" applyFill="1" applyBorder="1" applyAlignment="1">
      <alignment horizontal="center" vertical="center"/>
    </xf>
    <xf numFmtId="0" fontId="25" fillId="13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left" vertical="center"/>
    </xf>
    <xf numFmtId="0" fontId="17" fillId="8" borderId="7" xfId="0" applyFont="1" applyFill="1" applyBorder="1" applyAlignment="1">
      <alignment horizontal="left" vertical="center"/>
    </xf>
    <xf numFmtId="3" fontId="16" fillId="8" borderId="7" xfId="0" applyNumberFormat="1" applyFont="1" applyFill="1" applyBorder="1" applyAlignment="1">
      <alignment horizontal="center" vertical="center"/>
    </xf>
    <xf numFmtId="9" fontId="16" fillId="13" borderId="7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3" fontId="10" fillId="9" borderId="3" xfId="0" applyNumberFormat="1" applyFont="1" applyFill="1" applyBorder="1" applyAlignment="1">
      <alignment horizontal="center" vertical="center"/>
    </xf>
    <xf numFmtId="3" fontId="11" fillId="9" borderId="3" xfId="0" applyNumberFormat="1" applyFont="1" applyFill="1" applyBorder="1" applyAlignment="1">
      <alignment horizontal="center" vertical="center"/>
    </xf>
    <xf numFmtId="3" fontId="12" fillId="9" borderId="3" xfId="0" applyNumberFormat="1" applyFont="1" applyFill="1" applyBorder="1" applyAlignment="1">
      <alignment horizontal="center" vertical="center"/>
    </xf>
    <xf numFmtId="3" fontId="13" fillId="9" borderId="4" xfId="0" applyNumberFormat="1" applyFont="1" applyFill="1" applyBorder="1" applyAlignment="1">
      <alignment horizontal="center" vertical="center"/>
    </xf>
    <xf numFmtId="3" fontId="10" fillId="10" borderId="3" xfId="0" applyNumberFormat="1" applyFont="1" applyFill="1" applyBorder="1" applyAlignment="1">
      <alignment horizontal="center" vertical="center"/>
    </xf>
    <xf numFmtId="3" fontId="11" fillId="10" borderId="3" xfId="0" applyNumberFormat="1" applyFont="1" applyFill="1" applyBorder="1" applyAlignment="1">
      <alignment horizontal="center" vertical="center"/>
    </xf>
    <xf numFmtId="3" fontId="12" fillId="10" borderId="3" xfId="0" applyNumberFormat="1" applyFont="1" applyFill="1" applyBorder="1" applyAlignment="1">
      <alignment horizontal="center" vertical="center"/>
    </xf>
    <xf numFmtId="3" fontId="13" fillId="10" borderId="4" xfId="0" applyNumberFormat="1" applyFont="1" applyFill="1" applyBorder="1" applyAlignment="1">
      <alignment horizontal="center" vertical="center"/>
    </xf>
    <xf numFmtId="3" fontId="10" fillId="11" borderId="3" xfId="0" applyNumberFormat="1" applyFont="1" applyFill="1" applyBorder="1" applyAlignment="1">
      <alignment horizontal="center" vertical="center"/>
    </xf>
    <xf numFmtId="3" fontId="11" fillId="11" borderId="3" xfId="0" applyNumberFormat="1" applyFont="1" applyFill="1" applyBorder="1" applyAlignment="1">
      <alignment horizontal="center" vertical="center"/>
    </xf>
    <xf numFmtId="3" fontId="12" fillId="11" borderId="3" xfId="0" applyNumberFormat="1" applyFont="1" applyFill="1" applyBorder="1" applyAlignment="1">
      <alignment horizontal="center" vertical="center"/>
    </xf>
    <xf numFmtId="3" fontId="13" fillId="11" borderId="4" xfId="0" applyNumberFormat="1" applyFont="1" applyFill="1" applyBorder="1" applyAlignment="1">
      <alignment horizontal="center" vertical="center"/>
    </xf>
    <xf numFmtId="0" fontId="14" fillId="12" borderId="7" xfId="0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left" vertical="center"/>
    </xf>
    <xf numFmtId="0" fontId="17" fillId="14" borderId="7" xfId="0" applyFont="1" applyFill="1" applyBorder="1" applyAlignment="1">
      <alignment horizontal="left" vertical="center"/>
    </xf>
    <xf numFmtId="0" fontId="18" fillId="13" borderId="7" xfId="0" applyFont="1" applyFill="1" applyBorder="1" applyAlignment="1">
      <alignment horizontal="left" vertical="center"/>
    </xf>
    <xf numFmtId="164" fontId="16" fillId="13" borderId="7" xfId="0" applyNumberFormat="1" applyFont="1" applyFill="1" applyBorder="1" applyAlignment="1">
      <alignment horizontal="center" vertical="center"/>
    </xf>
    <xf numFmtId="0" fontId="16" fillId="13" borderId="7" xfId="0" applyFont="1" applyFill="1" applyBorder="1" applyAlignment="1">
      <alignment horizontal="center" vertical="center"/>
    </xf>
    <xf numFmtId="165" fontId="16" fillId="13" borderId="7" xfId="0" applyNumberFormat="1" applyFont="1" applyFill="1" applyBorder="1" applyAlignment="1">
      <alignment horizontal="center" vertical="center"/>
    </xf>
    <xf numFmtId="3" fontId="16" fillId="13" borderId="7" xfId="0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left" vertical="center"/>
    </xf>
    <xf numFmtId="0" fontId="21" fillId="15" borderId="0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0" fontId="26" fillId="14" borderId="7" xfId="0" applyFont="1" applyFill="1" applyBorder="1" applyAlignment="1">
      <alignment horizontal="center" vertical="center"/>
    </xf>
    <xf numFmtId="0" fontId="26" fillId="14" borderId="2" xfId="0" applyFont="1" applyFill="1" applyBorder="1" applyAlignment="1">
      <alignment horizontal="center" vertical="center"/>
    </xf>
    <xf numFmtId="0" fontId="30" fillId="4" borderId="7" xfId="0" applyFont="1" applyFill="1" applyBorder="1" applyAlignment="1">
      <alignment horizontal="center" vertical="center"/>
    </xf>
    <xf numFmtId="0" fontId="21" fillId="15" borderId="7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31" fillId="13" borderId="7" xfId="0" applyFont="1" applyFill="1" applyBorder="1" applyAlignment="1">
      <alignment horizontal="center" vertical="center"/>
    </xf>
    <xf numFmtId="0" fontId="25" fillId="13" borderId="7" xfId="0" applyFont="1" applyFill="1" applyBorder="1" applyAlignment="1">
      <alignment horizontal="left" vertical="center"/>
    </xf>
    <xf numFmtId="0" fontId="32" fillId="14" borderId="7" xfId="0" applyFont="1" applyFill="1" applyBorder="1" applyAlignment="1">
      <alignment vertical="center"/>
    </xf>
    <xf numFmtId="0" fontId="20" fillId="0" borderId="0" xfId="0" applyFont="1" applyBorder="1" applyAlignment="1">
      <alignment horizontal="left" vertical="center"/>
    </xf>
    <xf numFmtId="0" fontId="20" fillId="2" borderId="0" xfId="0" applyFont="1" applyFill="1" applyBorder="1" applyAlignment="1">
      <alignment horizontal="left" vertical="center" wrapText="1"/>
    </xf>
    <xf numFmtId="3" fontId="10" fillId="19" borderId="3" xfId="0" applyNumberFormat="1" applyFont="1" applyFill="1" applyBorder="1" applyAlignment="1">
      <alignment horizontal="center" vertical="center"/>
    </xf>
    <xf numFmtId="3" fontId="11" fillId="19" borderId="3" xfId="0" applyNumberFormat="1" applyFont="1" applyFill="1" applyBorder="1" applyAlignment="1">
      <alignment horizontal="center" vertical="center"/>
    </xf>
    <xf numFmtId="3" fontId="12" fillId="19" borderId="3" xfId="0" applyNumberFormat="1" applyFont="1" applyFill="1" applyBorder="1" applyAlignment="1">
      <alignment horizontal="center" vertical="center"/>
    </xf>
    <xf numFmtId="3" fontId="13" fillId="19" borderId="4" xfId="0" applyNumberFormat="1" applyFont="1" applyFill="1" applyBorder="1" applyAlignment="1">
      <alignment horizontal="center" vertical="center"/>
    </xf>
    <xf numFmtId="3" fontId="10" fillId="20" borderId="3" xfId="0" applyNumberFormat="1" applyFont="1" applyFill="1" applyBorder="1" applyAlignment="1">
      <alignment horizontal="center" vertical="center"/>
    </xf>
    <xf numFmtId="3" fontId="11" fillId="20" borderId="3" xfId="0" applyNumberFormat="1" applyFont="1" applyFill="1" applyBorder="1" applyAlignment="1">
      <alignment horizontal="center" vertical="center"/>
    </xf>
    <xf numFmtId="3" fontId="12" fillId="20" borderId="3" xfId="0" applyNumberFormat="1" applyFont="1" applyFill="1" applyBorder="1" applyAlignment="1">
      <alignment horizontal="center" vertical="center"/>
    </xf>
    <xf numFmtId="3" fontId="13" fillId="20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b/>
        <color rgb="FF38761D"/>
      </font>
      <fill>
        <patternFill>
          <bgColor rgb="FFD9EAD3"/>
        </patternFill>
      </fill>
    </dxf>
    <dxf>
      <font>
        <b/>
        <color rgb="FF5B2C87"/>
      </font>
      <fill>
        <patternFill>
          <bgColor rgb="FFE4D9F0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A61C00"/>
      </font>
      <fill>
        <patternFill>
          <bgColor rgb="FFF4CCCC"/>
        </patternFill>
      </fill>
    </dxf>
    <dxf>
      <font>
        <b/>
        <color rgb="FF38761D"/>
      </font>
      <fill>
        <patternFill>
          <bgColor rgb="FFD9EAD3"/>
        </patternFill>
      </fill>
    </dxf>
    <dxf>
      <font>
        <b/>
        <color rgb="FF5B2C87"/>
      </font>
      <fill>
        <patternFill>
          <bgColor rgb="FFE4D9F0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A61C00"/>
      </font>
      <fill>
        <patternFill>
          <bgColor rgb="FFF4CCCC"/>
        </patternFill>
      </fill>
    </dxf>
    <dxf>
      <font>
        <b/>
        <color rgb="FF38761D"/>
      </font>
      <fill>
        <patternFill>
          <bgColor rgb="FFD9EAD3"/>
        </patternFill>
      </fill>
    </dxf>
    <dxf>
      <font>
        <b/>
        <color rgb="FF5B2C87"/>
      </font>
      <fill>
        <patternFill>
          <bgColor rgb="FFE4D9F0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A61C00"/>
      </font>
      <fill>
        <patternFill>
          <bgColor rgb="FFF4CCCC"/>
        </patternFill>
      </fill>
    </dxf>
    <dxf>
      <font>
        <b/>
        <color rgb="FF38761D"/>
      </font>
      <fill>
        <patternFill>
          <bgColor rgb="FFD9EAD3"/>
        </patternFill>
      </fill>
    </dxf>
    <dxf>
      <font>
        <b/>
        <color rgb="FF5B2C87"/>
      </font>
      <fill>
        <patternFill>
          <bgColor rgb="FFE4D9F0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A61C00"/>
      </font>
      <fill>
        <patternFill>
          <bgColor rgb="FFF4CCCC"/>
        </patternFill>
      </fill>
    </dxf>
    <dxf>
      <font>
        <b/>
        <color rgb="FF38761D"/>
      </font>
      <fill>
        <patternFill>
          <bgColor rgb="FFD9EAD3"/>
        </patternFill>
      </fill>
    </dxf>
    <dxf>
      <font>
        <b/>
        <color rgb="FF5B2C87"/>
      </font>
      <fill>
        <patternFill>
          <bgColor rgb="FFE4D9F0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A61C00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E5CD"/>
      <rgbColor rgb="FFFF00FF"/>
      <rgbColor rgb="FF00FFFF"/>
      <rgbColor rgb="FF800000"/>
      <rgbColor rgb="FF38761D"/>
      <rgbColor rgb="FF000080"/>
      <rgbColor rgb="FFB45F06"/>
      <rgbColor rgb="FF800080"/>
      <rgbColor rgb="FF008080"/>
      <rgbColor rgb="FFBFBFBF"/>
      <rgbColor rgb="FF7F7F7F"/>
      <rgbColor rgb="FFF2F7FF"/>
      <rgbColor rgb="FF7030A0"/>
      <rgbColor rgb="FFFFF9E6"/>
      <rgbColor rgb="FFDDEBF7"/>
      <rgbColor rgb="FF660066"/>
      <rgbColor rgb="FFFF8080"/>
      <rgbColor rgb="FF2E5C8A"/>
      <rgbColor rgb="FFE4D9F0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DF3FB"/>
      <rgbColor rgb="FFC6EFCE"/>
      <rgbColor rgb="FFFFEB9C"/>
      <rgbColor rgb="FFD9E2F3"/>
      <rgbColor rgb="FFEAE2D0"/>
      <rgbColor rgb="FFD9EAD3"/>
      <rgbColor rgb="FFF4CCCC"/>
      <rgbColor rgb="FF3366FF"/>
      <rgbColor rgb="FF33CCCC"/>
      <rgbColor rgb="FF99CC00"/>
      <rgbColor rgb="FFFFD966"/>
      <rgbColor rgb="FFFF9900"/>
      <rgbColor rgb="FFFF6600"/>
      <rgbColor rgb="FF595959"/>
      <rgbColor rgb="FFF7F9FC"/>
      <rgbColor rgb="FF1C3B68"/>
      <rgbColor rgb="FF2E7D32"/>
      <rgbColor rgb="FF003300"/>
      <rgbColor rgb="FF333300"/>
      <rgbColor rgb="FFA61C00"/>
      <rgbColor rgb="FF993366"/>
      <rgbColor rgb="FF5B2C87"/>
      <rgbColor rgb="FF1D23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9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229930-89B7-46F7-A97E-207C6FDD82D1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70d7d13-a57f-4806-af48-bbf872f9ba9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AZ404"/>
  <sheetViews>
    <sheetView showGridLines="0" tabSelected="1" zoomScale="80" zoomScaleNormal="80" workbookViewId="0">
      <pane ySplit="2" topLeftCell="A6" activePane="bottomLeft" state="frozen"/>
      <selection pane="bottomLeft" activeCell="Q18" sqref="Q18"/>
    </sheetView>
  </sheetViews>
  <sheetFormatPr defaultColWidth="8.7109375" defaultRowHeight="15" x14ac:dyDescent="0.25"/>
  <cols>
    <col min="1" max="1" width="2.7109375" style="15" customWidth="1"/>
    <col min="2" max="12" width="17.140625" style="15" customWidth="1"/>
    <col min="13" max="13" width="17.28515625" style="15" customWidth="1"/>
  </cols>
  <sheetData>
    <row r="1" spans="1:52" ht="6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</row>
    <row r="2" spans="1:52" ht="33.75" customHeight="1" x14ac:dyDescent="0.25">
      <c r="A2" s="16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</row>
    <row r="3" spans="1:52" ht="6" customHeight="1" x14ac:dyDescent="0.25">
      <c r="A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</row>
    <row r="4" spans="1:52" ht="25.5" customHeight="1" x14ac:dyDescent="0.25">
      <c r="A4" s="16"/>
      <c r="B4" s="13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</row>
    <row r="5" spans="1:52" ht="6" customHeight="1" x14ac:dyDescent="0.25">
      <c r="A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</row>
    <row r="6" spans="1:52" ht="21.75" customHeight="1" x14ac:dyDescent="0.25">
      <c r="A6" s="16"/>
      <c r="B6" s="12" t="s">
        <v>2</v>
      </c>
      <c r="C6" s="12"/>
      <c r="D6" s="12"/>
      <c r="E6" s="11" t="s">
        <v>3</v>
      </c>
      <c r="F6" s="11"/>
      <c r="G6" s="11"/>
      <c r="H6" s="10" t="s">
        <v>4</v>
      </c>
      <c r="I6" s="10"/>
      <c r="J6" s="10"/>
      <c r="K6" s="9" t="s">
        <v>5</v>
      </c>
      <c r="L6" s="9"/>
      <c r="M6" s="9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</row>
    <row r="7" spans="1:52" ht="45.75" customHeight="1" x14ac:dyDescent="0.25">
      <c r="A7" s="16"/>
      <c r="B7" s="8">
        <f>'Կառուցվածք և աշխատավարձ'!$F$55-'Կառուցվածք և աշխատավարձ'!$F$53</f>
        <v>52</v>
      </c>
      <c r="C7" s="8"/>
      <c r="D7" s="8"/>
      <c r="E7" s="7">
        <f>'Կառուցվածք և աշխատավարձ'!$G$55-'Կառուցվածք և աշխատավարձ'!$G$53</f>
        <v>25</v>
      </c>
      <c r="F7" s="7"/>
      <c r="G7" s="7"/>
      <c r="H7" s="6">
        <f>'Կառուցվածք և աշխատավարձ'!$H$55-'Կառուցվածք և աշխատավարձ'!$H$53</f>
        <v>27</v>
      </c>
      <c r="I7" s="6"/>
      <c r="J7" s="6"/>
      <c r="K7" s="5">
        <f>('Կառուցվածք և աշխատավարձ'!$G$55-'Կառուցվածք և աշխատավարձ'!$G$53)/('Կառուցվածք և աշխատավարձ'!$F$55-'Կառուցվածք և աշխատավարձ'!$F$53)</f>
        <v>0.48076923076923078</v>
      </c>
      <c r="L7" s="5"/>
      <c r="M7" s="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</row>
    <row r="8" spans="1:52" ht="19.5" customHeight="1" x14ac:dyDescent="0.25">
      <c r="A8" s="16"/>
      <c r="B8" s="4" t="s">
        <v>6</v>
      </c>
      <c r="C8" s="4"/>
      <c r="D8" s="4"/>
      <c r="E8" s="4" t="s">
        <v>7</v>
      </c>
      <c r="F8" s="4"/>
      <c r="G8" s="4"/>
      <c r="H8" s="4" t="s">
        <v>8</v>
      </c>
      <c r="I8" s="4"/>
      <c r="J8" s="4"/>
      <c r="K8" s="3" t="s">
        <v>9</v>
      </c>
      <c r="L8" s="3"/>
      <c r="M8" s="3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</row>
    <row r="9" spans="1:52" ht="9.75" customHeight="1" x14ac:dyDescent="0.25">
      <c r="A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</row>
    <row r="10" spans="1:52" ht="25.5" customHeight="1" x14ac:dyDescent="0.25">
      <c r="A10" s="16"/>
      <c r="B10" s="13" t="s">
        <v>10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</row>
    <row r="11" spans="1:52" ht="6" customHeight="1" x14ac:dyDescent="0.25">
      <c r="A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2" ht="21.75" customHeight="1" x14ac:dyDescent="0.25">
      <c r="A12" s="16"/>
      <c r="B12" s="12" t="s">
        <v>11</v>
      </c>
      <c r="C12" s="12"/>
      <c r="D12" s="12"/>
      <c r="E12" s="11" t="s">
        <v>12</v>
      </c>
      <c r="F12" s="11"/>
      <c r="G12" s="11"/>
      <c r="H12" s="10" t="s">
        <v>13</v>
      </c>
      <c r="I12" s="10"/>
      <c r="J12" s="10"/>
      <c r="K12" s="9" t="s">
        <v>14</v>
      </c>
      <c r="L12" s="9"/>
      <c r="M12" s="9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ht="45.75" customHeight="1" x14ac:dyDescent="0.25">
      <c r="A13" s="16"/>
      <c r="B13" s="8">
        <f>'Կառուցվածք և աշխատավարձ'!$P$55</f>
        <v>8310000</v>
      </c>
      <c r="C13" s="8"/>
      <c r="D13" s="8"/>
      <c r="E13" s="7">
        <f>'Կառուցվածք և աշխատավարձ'!$Q$55</f>
        <v>11464133.33333333</v>
      </c>
      <c r="F13" s="7"/>
      <c r="G13" s="7"/>
      <c r="H13" s="6">
        <f>'Կառուցվածք և աշխատավարձ'!$AA$55</f>
        <v>15695333.333333334</v>
      </c>
      <c r="I13" s="6"/>
      <c r="J13" s="6"/>
      <c r="K13" s="2">
        <f>'Կառուցվածք և աշխատավարձ'!$AA$55*12</f>
        <v>188344000</v>
      </c>
      <c r="L13" s="2"/>
      <c r="M13" s="2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ht="19.5" customHeight="1" x14ac:dyDescent="0.25">
      <c r="A14" s="16"/>
      <c r="B14" s="4" t="s">
        <v>15</v>
      </c>
      <c r="C14" s="4"/>
      <c r="D14" s="4"/>
      <c r="E14" s="4" t="s">
        <v>16</v>
      </c>
      <c r="F14" s="4"/>
      <c r="G14" s="4"/>
      <c r="H14" s="4" t="s">
        <v>17</v>
      </c>
      <c r="I14" s="4"/>
      <c r="J14" s="4"/>
      <c r="K14" s="3" t="str">
        <f>"Հատակ "&amp;TEXT('Կառուցվածք և աշխատավարձ'!$X$55*12,"#,##0")&amp;"  ·  Առաստաղ "&amp;TEXT('Կառուցվածք և աշխատավարձ'!$AB$55*12,"#,##0")&amp;" ֏/տարի"</f>
        <v>Հատակ 135,227,200  ·  Առաստաղ 208,705,600 ֏/տարի</v>
      </c>
      <c r="L14" s="3"/>
      <c r="M14" s="3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ht="9.75" customHeight="1" x14ac:dyDescent="0.25">
      <c r="A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ht="21.75" customHeight="1" x14ac:dyDescent="0.25">
      <c r="A16" s="16"/>
      <c r="B16" s="12" t="s">
        <v>18</v>
      </c>
      <c r="C16" s="12"/>
      <c r="D16" s="12"/>
      <c r="E16" s="11" t="s">
        <v>19</v>
      </c>
      <c r="F16" s="11"/>
      <c r="G16" s="11"/>
      <c r="H16" s="10" t="s">
        <v>20</v>
      </c>
      <c r="I16" s="10"/>
      <c r="J16" s="10"/>
      <c r="K16" s="9" t="s">
        <v>21</v>
      </c>
      <c r="L16" s="9"/>
      <c r="M16" s="9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ht="45.75" customHeight="1" x14ac:dyDescent="0.25">
      <c r="A17" s="16"/>
      <c r="B17" s="8">
        <f>'Կառուցվածք և աշխատավարձ'!$X$55</f>
        <v>11268933.33333333</v>
      </c>
      <c r="C17" s="8"/>
      <c r="D17" s="8"/>
      <c r="E17" s="7">
        <f>'Կառուցվածք և աշխատավարձ'!$AB$55</f>
        <v>17392133.333333332</v>
      </c>
      <c r="F17" s="7"/>
      <c r="G17" s="7"/>
      <c r="H17" s="6">
        <f>SUMPRODUCT('Կառուցվածք և աշխատավարձ'!$O$7:$O16,'Կառուցվածք և աշխատավարձ'!$G$7:$G16)+SUMPRODUCT('Կառուցվածք և աշխատավարձ'!$O$22:$O$35,'Կառուցվածք և աշխատավարձ'!$G$22:$G$35)+SUMPRODUCT('Կառուցվածք և աշխատավարձ'!$O$39:$O$42,'Կառուցվածք և աշխատավարձ'!$G$39:$G$42)+SUMPRODUCT('Կառուցվածք և աշխատավարձ'!$O$46:$O$47,'Կառուցվածք և աշխատավարձ'!$G$46:$G$47)+SUMPRODUCT('Կառուցվածք և աշխատավարձ'!$O$51:$O$52,'Կառուցվածք և աշխատավարձ'!$G$51:$G$52)</f>
        <v>6371999.9999999991</v>
      </c>
      <c r="I17" s="6"/>
      <c r="J17" s="6"/>
      <c r="K17" s="2">
        <f>SUMPRODUCT('Կառուցվածք և աշխատավարձ'!$O$7:$O16,'Կառուցվածք և աշխատավարձ'!$H$7:$H16)+SUMPRODUCT('Կառուցվածք և աշխատավարձ'!$O$22:$O$35,'Կառուցվածք և աշխատավարձ'!$H$22:$H$35)+SUMPRODUCT('Կառուցվածք և աշխատավարձ'!$O$39:$O$42,'Կառուցվածք և աշխատավարձ'!$H$39:$H$42)+SUMPRODUCT('Կառուցվածք և աշխատավարձ'!$O$46:$O$47,'Կառուցվածք և աշխատավարձ'!$H$46:$H$47)+SUMPRODUCT('Կառուցվածք և աշխատավարձ'!$O$51:$O$52,'Կառուցվածք և աշխատավարձ'!$H$51:$H$52)</f>
        <v>5092133.3333333321</v>
      </c>
      <c r="L17" s="2"/>
      <c r="M17" s="2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ht="19.5" customHeight="1" x14ac:dyDescent="0.25">
      <c r="A18" s="16"/>
      <c r="B18" s="4" t="s">
        <v>22</v>
      </c>
      <c r="C18" s="4"/>
      <c r="D18" s="4"/>
      <c r="E18" s="4" t="s">
        <v>23</v>
      </c>
      <c r="F18" s="4"/>
      <c r="G18" s="4"/>
      <c r="H18" s="4" t="s">
        <v>24</v>
      </c>
      <c r="I18" s="4"/>
      <c r="J18" s="4"/>
      <c r="K18" s="3" t="s">
        <v>25</v>
      </c>
      <c r="L18" s="3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ht="9.75" customHeight="1" x14ac:dyDescent="0.25">
      <c r="A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ht="18" customHeight="1" x14ac:dyDescent="0.25">
      <c r="A20" s="16"/>
      <c r="B20" s="1" t="s">
        <v>26</v>
      </c>
      <c r="C20" s="1"/>
      <c r="D20" s="1"/>
      <c r="E20" s="102" t="s">
        <v>27</v>
      </c>
      <c r="F20" s="102"/>
      <c r="G20" s="102"/>
      <c r="H20" s="103" t="s">
        <v>28</v>
      </c>
      <c r="I20" s="103"/>
      <c r="J20" s="103"/>
      <c r="K20" s="104" t="s">
        <v>29</v>
      </c>
      <c r="L20" s="104"/>
      <c r="M20" s="10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ht="26.25" customHeight="1" x14ac:dyDescent="0.25">
      <c r="A21" s="16"/>
      <c r="B21" s="105" t="s">
        <v>30</v>
      </c>
      <c r="C21" s="105"/>
      <c r="D21" s="105"/>
      <c r="E21" s="106">
        <f>SUMPRODUCT('Կառուցվածք և աշխատավարձ'!$O$7:$O16,'Կառուցվածք և աշխատավարձ'!$G$7:$G16)+SUMPRODUCT('Կառուցվածք և աշխատավարձ'!$O$22:$O$35,'Կառուցվածք և աշխատավարձ'!$G$22:$G$35)+SUMPRODUCT('Կառուցվածք և աշխատավարձ'!$O$39:$O$42,'Կառուցվածք և աշխատավարձ'!$G$39:$G$42)+SUMPRODUCT('Կառուցվածք և աշխատավարձ'!$O$46:$O$47,'Կառուցվածք և աշխատավարձ'!$G$46:$G$47)+SUMPRODUCT('Կառուցվածք և աշխատավարձ'!$O$51:$O$52,'Կառուցվածք և աշխատավարձ'!$G$51:$G$52)</f>
        <v>6371999.9999999991</v>
      </c>
      <c r="F21" s="106"/>
      <c r="G21" s="106"/>
      <c r="H21" s="107" t="s">
        <v>31</v>
      </c>
      <c r="I21" s="107"/>
      <c r="J21" s="107"/>
      <c r="K21" s="108" t="s">
        <v>32</v>
      </c>
      <c r="L21" s="108"/>
      <c r="M21" s="108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ht="26.25" customHeight="1" x14ac:dyDescent="0.25">
      <c r="A22" s="16"/>
      <c r="B22" s="141" t="s">
        <v>33</v>
      </c>
      <c r="C22" s="141"/>
      <c r="D22" s="141"/>
      <c r="E22" s="142">
        <f>SUMPRODUCT('Կառուցվածք և աշխատավարձ'!$O$7:$O$16,'Կառուցվածք և աշխատավարձ'!$H$7:$H$16,--('Կառուցվածք և աշխատավարձ'!$I$7:$I$16="Կրիտիկական"))+SUMPRODUCT('Կառուցվածք և աշխատավարձ'!$O$22:$O$35,'Կառուցվածք և աշխատավարձ'!$H$22:$H$35,--('Կառուցվածք և աշխատավարձ'!$I$22:$I$35="Կրիտիկական"))+SUMPRODUCT('Կառուցվածք և աշխատավարձ'!$O$39:$O$42,'Կառուցվածք և աշխատավարձ'!$H$39:$H$42,--('Կառուցվածք և աշխատավարձ'!$I$39:$I$42="Կրիտիկական"))+SUMPRODUCT('Կառուցվածք և աշխատավարձ'!$O$46:$O$47,'Կառուցվածք և աշխատավարձ'!$H$46:$H$47,--('Կառուցվածք և աշխատավարձ'!$I$46:$I$47="Կրիտիկական"))+SUMPRODUCT('Կառուցվածք և աշխատավարձ'!$O$51:$O$52,'Կառուցվածք և աշխատավարձ'!$H$51:$H$52,--('Կառուցվածք և աշխատավարձ'!$I$51:$I$52="Կրիտիկական"))</f>
        <v>1807199.9999999998</v>
      </c>
      <c r="F22" s="142"/>
      <c r="G22" s="142"/>
      <c r="H22" s="143" t="s">
        <v>34</v>
      </c>
      <c r="I22" s="143"/>
      <c r="J22" s="143"/>
      <c r="K22" s="144" t="s">
        <v>35</v>
      </c>
      <c r="L22" s="144"/>
      <c r="M22" s="144"/>
    </row>
    <row r="23" spans="1:52" ht="26.25" customHeight="1" x14ac:dyDescent="0.25">
      <c r="A23" s="16"/>
      <c r="B23" s="145" t="s">
        <v>36</v>
      </c>
      <c r="C23" s="145"/>
      <c r="D23" s="145"/>
      <c r="E23" s="146">
        <f>$E$21+SUMPRODUCT('Կառուցվածք և աշխատավարձ'!$O$7:$O$16,'Կառուցվածք և աշխատավարձ'!$H$7:$H$16,--('Կառուցվածք և աշխատավարձ'!$I$7:$I$16="Կրիտիկական"))+SUMPRODUCT('Կառուցվածք և աշխատավարձ'!$O$22:$O$35,'Կառուցվածք և աշխատավարձ'!$H$22:$H$35,--('Կառուցվածք և աշխատավարձ'!$I$22:$I$35="Կրիտիկական"))+SUMPRODUCT('Կառուցվածք և աշխատավարձ'!$O$39:$O$42,'Կառուցվածք և աշխատավարձ'!$H$39:$H$42,--('Կառուցվածք և աշխատավարձ'!$I$39:$I$42="Կրիտիկական"))+SUMPRODUCT('Կառուցվածք և աշխատավարձ'!$O$46:$O$47,'Կառուցվածք և աշխատավարձ'!$H$46:$H$47,--('Կառուցվածք և աշխատավարձ'!$I$46:$I$47="Կրիտիկական"))+SUMPRODUCT('Կառուցվածք և աշխատավարձ'!$O$51:$O$52,'Կառուցվածք և աշխատավարձ'!$H$51:$H$52,--('Կառուցվածք և աշխատավարձ'!$I$51:$I$52="Կրիտիկական"))</f>
        <v>8179199.9999999981</v>
      </c>
      <c r="F23" s="146"/>
      <c r="G23" s="146"/>
      <c r="H23" s="147" t="s">
        <v>37</v>
      </c>
      <c r="I23" s="147"/>
      <c r="J23" s="147"/>
      <c r="K23" s="148" t="s">
        <v>38</v>
      </c>
      <c r="L23" s="148"/>
      <c r="M23" s="148"/>
    </row>
    <row r="24" spans="1:52" ht="26.25" customHeight="1" x14ac:dyDescent="0.25">
      <c r="A24" s="16"/>
      <c r="B24" s="109" t="s">
        <v>39</v>
      </c>
      <c r="C24" s="109"/>
      <c r="D24" s="109"/>
      <c r="E24" s="110">
        <f>'Կառուցվածք և աշխատավարձ'!$AA$55</f>
        <v>15695333.333333334</v>
      </c>
      <c r="F24" s="110"/>
      <c r="G24" s="110"/>
      <c r="H24" s="111" t="s">
        <v>40</v>
      </c>
      <c r="I24" s="111"/>
      <c r="J24" s="111"/>
      <c r="K24" s="112" t="s">
        <v>41</v>
      </c>
      <c r="L24" s="112"/>
      <c r="M24" s="112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ht="26.25" customHeight="1" x14ac:dyDescent="0.25">
      <c r="A25" s="16"/>
      <c r="B25" s="113" t="s">
        <v>42</v>
      </c>
      <c r="C25" s="113"/>
      <c r="D25" s="113"/>
      <c r="E25" s="114">
        <f>'Կառուցվածք և աշխատավարձ'!$AA$55*12</f>
        <v>188344000</v>
      </c>
      <c r="F25" s="114"/>
      <c r="G25" s="114"/>
      <c r="H25" s="115" t="s">
        <v>43</v>
      </c>
      <c r="I25" s="115"/>
      <c r="J25" s="115"/>
      <c r="K25" s="116" t="s">
        <v>44</v>
      </c>
      <c r="L25" s="116"/>
      <c r="M25" s="1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ht="9.75" customHeight="1" x14ac:dyDescent="0.25">
      <c r="A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ht="25.5" customHeight="1" x14ac:dyDescent="0.25">
      <c r="A27" s="16"/>
      <c r="B27" s="13" t="s">
        <v>45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ht="6" customHeight="1" x14ac:dyDescent="0.25">
      <c r="A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ht="39.75" customHeight="1" x14ac:dyDescent="0.25">
      <c r="A29" s="16"/>
      <c r="B29" s="117" t="s">
        <v>46</v>
      </c>
      <c r="C29" s="117"/>
      <c r="D29" s="17" t="s">
        <v>47</v>
      </c>
      <c r="E29" s="17" t="s">
        <v>48</v>
      </c>
      <c r="F29" s="17" t="s">
        <v>49</v>
      </c>
      <c r="G29" s="17" t="s">
        <v>50</v>
      </c>
      <c r="H29" s="18" t="s">
        <v>51</v>
      </c>
      <c r="I29" s="18" t="s">
        <v>52</v>
      </c>
      <c r="J29" s="18" t="s">
        <v>53</v>
      </c>
      <c r="K29" s="18" t="s">
        <v>54</v>
      </c>
      <c r="L29" s="18" t="s">
        <v>55</v>
      </c>
      <c r="M29" s="18" t="s">
        <v>56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ht="30" customHeight="1" x14ac:dyDescent="0.25">
      <c r="A30" s="16"/>
      <c r="B30" s="118" t="s">
        <v>57</v>
      </c>
      <c r="C30" s="118"/>
      <c r="D30" s="20">
        <f>'Կառուցվածք և աշխատավարձ'!$F$18</f>
        <v>13</v>
      </c>
      <c r="E30" s="20">
        <f>'Կառուցվածք և աշխատավարձ'!$G$18</f>
        <v>6</v>
      </c>
      <c r="F30" s="20">
        <f>'Կառուցվածք և աշխատավարձ'!$H$18</f>
        <v>7</v>
      </c>
      <c r="G30" s="21">
        <f>'Կառուցվածք և աշխատավարձ'!$G$18/'Կառուցվածք և աշխատավարձ'!$F$18</f>
        <v>0.46153846153846156</v>
      </c>
      <c r="H30" s="20">
        <f>'Կառուցվածք և աշխատավարձ'!$P$18</f>
        <v>1960000</v>
      </c>
      <c r="I30" s="20">
        <f>'Կառուցվածք և աշխատավարձ'!$Q$18</f>
        <v>2721866.666666667</v>
      </c>
      <c r="J30" s="20">
        <f>'Կառուցվածք և աշխատավարձ'!$V$18</f>
        <v>2646000</v>
      </c>
      <c r="K30" s="20">
        <f>'Կառուցվածք և աշխատավարձ'!$AA$18</f>
        <v>3623733.333333334</v>
      </c>
      <c r="L30" s="20">
        <f>'Կառուցվածք և աշխատավարձ'!$W$18</f>
        <v>2940000</v>
      </c>
      <c r="M30" s="20">
        <f>'Կառուցվածք և աշխատավարձ'!$AB$18</f>
        <v>4028533.3333333335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ht="30" customHeight="1" x14ac:dyDescent="0.25">
      <c r="A31" s="16"/>
      <c r="B31" s="118" t="s">
        <v>58</v>
      </c>
      <c r="C31" s="118"/>
      <c r="D31" s="20">
        <f>'Կառուցվածք և աշխատավարձ'!$F$17</f>
        <v>6</v>
      </c>
      <c r="E31" s="20">
        <f>'Կառուցվածք և աշխատավարձ'!$G$17</f>
        <v>0</v>
      </c>
      <c r="F31" s="20">
        <f>'Կառուցվածք և աշխատավարձ'!$H$17</f>
        <v>6</v>
      </c>
      <c r="G31" s="21">
        <f>'Կառուցվածք և աշխատավարձ'!$G$17/'Կառուցվածք և աշխատավարձ'!$F$17</f>
        <v>0</v>
      </c>
      <c r="H31" s="20">
        <f>'Կառուցվածք և աշխատավարձ'!$P$17</f>
        <v>420000</v>
      </c>
      <c r="I31" s="20">
        <f>'Կառուցվածք և աշխատավարձ'!$Q$17</f>
        <v>606400</v>
      </c>
      <c r="J31" s="20">
        <f>'Կառուցվածք և աշխատավարձ'!$V$17</f>
        <v>900000</v>
      </c>
      <c r="K31" s="20">
        <f>'Կառուցվածք և աշխատավարձ'!$AA$17</f>
        <v>1246400</v>
      </c>
      <c r="L31" s="20">
        <f>'Կառուցվածք և աշխատավարձ'!$W$17</f>
        <v>996000</v>
      </c>
      <c r="M31" s="20">
        <f>'Կառուցվածք և աշխատավարձ'!$AB$17</f>
        <v>1374400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ht="30" customHeight="1" x14ac:dyDescent="0.25">
      <c r="A32" s="16"/>
      <c r="B32" s="118" t="s">
        <v>59</v>
      </c>
      <c r="C32" s="118"/>
      <c r="D32" s="20">
        <f>'Կառուցվածք և աշխատավարձ'!$F$36</f>
        <v>22</v>
      </c>
      <c r="E32" s="20">
        <f>'Կառուցվածք և աշխատավարձ'!$G$36</f>
        <v>13</v>
      </c>
      <c r="F32" s="20">
        <f>'Կառուցվածք և աշխատավարձ'!$H$36</f>
        <v>9</v>
      </c>
      <c r="G32" s="21">
        <f>'Կառուցվածք և աշխատավարձ'!$G$36/'Կառուցվածք և աշխատավարձ'!$F$36</f>
        <v>0.59090909090909094</v>
      </c>
      <c r="H32" s="20">
        <f>'Կառուցվածք և աշխատավարձ'!$P$36</f>
        <v>4010000</v>
      </c>
      <c r="I32" s="20">
        <f>'Կառուցվածք և աշխատավարձ'!$Q$36</f>
        <v>5524799.9999999981</v>
      </c>
      <c r="J32" s="20">
        <f>'Կառուցվածք և աշխատավարձ'!$V$36</f>
        <v>5413500</v>
      </c>
      <c r="K32" s="20">
        <f>'Կառուցվածք և աշխատավարձ'!$AA$36</f>
        <v>7388133.333333333</v>
      </c>
      <c r="L32" s="20">
        <f>'Կառուցվածք և աշխատավարձ'!$W$36</f>
        <v>6015000</v>
      </c>
      <c r="M32" s="20">
        <f>'Կառուցվածք և աշխատավարձ'!$AB$36</f>
        <v>8198133.3333333321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ht="30" customHeight="1" x14ac:dyDescent="0.25">
      <c r="A33" s="16"/>
      <c r="B33" s="118" t="s">
        <v>60</v>
      </c>
      <c r="C33" s="118"/>
      <c r="D33" s="20">
        <f>'Կառուցվածք և աշխատավարձ'!$F$43</f>
        <v>9</v>
      </c>
      <c r="E33" s="20">
        <f>'Կառուցվածք և աշխատավարձ'!$G$43</f>
        <v>5</v>
      </c>
      <c r="F33" s="20">
        <f>'Կառուցվածք և աշխատավարձ'!$H$43</f>
        <v>4</v>
      </c>
      <c r="G33" s="21">
        <f>'Կառուցվածք և աշխատավարձ'!$G$43/'Կառուցվածք և աշխատավարձ'!$F$43</f>
        <v>0.55555555555555558</v>
      </c>
      <c r="H33" s="20">
        <f>'Կառուցվածք և աշխատավարձ'!$P$43</f>
        <v>1320000</v>
      </c>
      <c r="I33" s="20">
        <f>'Կառուցվածք և աշխատավարձ'!$Q$43</f>
        <v>1837600</v>
      </c>
      <c r="J33" s="20">
        <f>'Կառուցվածք և աշխատավարձ'!$V$43</f>
        <v>1782000</v>
      </c>
      <c r="K33" s="20">
        <f>'Կառուցվածք և աշխատավարձ'!$AA$43</f>
        <v>2453600</v>
      </c>
      <c r="L33" s="20">
        <f>'Կառուցվածք և աշխատավարձ'!$W$43</f>
        <v>1980000</v>
      </c>
      <c r="M33" s="20">
        <f>'Կառուցվածք և աշխատավարձ'!$AB$43</f>
        <v>2717600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ht="30" customHeight="1" x14ac:dyDescent="0.25">
      <c r="A34" s="16"/>
      <c r="B34" s="118" t="s">
        <v>61</v>
      </c>
      <c r="C34" s="118"/>
      <c r="D34" s="20">
        <f>'Կառուցվածք և աշխատավարձ'!$F$48</f>
        <v>2</v>
      </c>
      <c r="E34" s="20">
        <f>'Կառուցվածք և աշխատավարձ'!$G$48</f>
        <v>1</v>
      </c>
      <c r="F34" s="20">
        <f>'Կառուցվածք և աշխատավարձ'!$H$48</f>
        <v>1</v>
      </c>
      <c r="G34" s="21">
        <f>'Կառուցվածք և աշխատավարձ'!$G$48/'Կառուցվածք և աշխատավարձ'!$F$48</f>
        <v>0.5</v>
      </c>
      <c r="H34" s="20">
        <f>'Կառուցվածք և աշխատավարձ'!$P$48</f>
        <v>450000</v>
      </c>
      <c r="I34" s="20">
        <f>'Կառուցվածք և աշխատավարձ'!$Q$48</f>
        <v>623466.66666666663</v>
      </c>
      <c r="J34" s="20">
        <f>'Կառուցվածք և աշխատավարձ'!$V$48</f>
        <v>607500</v>
      </c>
      <c r="K34" s="20">
        <f>'Կառուցվածք և աշխատավարձ'!$AA$48</f>
        <v>833466.66666666651</v>
      </c>
      <c r="L34" s="20">
        <f>'Կառուցվածք և աշխատավարձ'!$W$48</f>
        <v>675000</v>
      </c>
      <c r="M34" s="20">
        <f>'Կառուցվածք և աշխատավարձ'!$AB$48</f>
        <v>923466.66666666651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ht="30" customHeight="1" x14ac:dyDescent="0.25">
      <c r="A35" s="16"/>
      <c r="B35" s="118" t="s">
        <v>62</v>
      </c>
      <c r="C35" s="118"/>
      <c r="D35" s="20">
        <f>'Կառուցվածք և աշխատավարձ'!$F$53</f>
        <v>2</v>
      </c>
      <c r="E35" s="20">
        <f>'Կառուցվածք և աշխատավարձ'!$G$53</f>
        <v>0</v>
      </c>
      <c r="F35" s="20">
        <f>'Կառուցվածք և աշխատավարձ'!$H$53</f>
        <v>2</v>
      </c>
      <c r="G35" s="21">
        <f>'Կառուցվածք և աշխատավարձ'!$G$53/'Կառուցվածք և աշխատավարձ'!$F$53</f>
        <v>0</v>
      </c>
      <c r="H35" s="20">
        <f>'Կառուցվածք և աշխատավարձ'!$P$53</f>
        <v>150000</v>
      </c>
      <c r="I35" s="20">
        <f>'Կառուցվածք և աշխատավարձ'!$Q$53</f>
        <v>150000</v>
      </c>
      <c r="J35" s="20">
        <f>'Կառուցվածք և աշխատավարձ'!$V$53</f>
        <v>150000</v>
      </c>
      <c r="K35" s="20">
        <f>'Կառուցվածք և աշխատավարձ'!$AA$53</f>
        <v>150000</v>
      </c>
      <c r="L35" s="20">
        <f>'Կառուցվածք և աշխատավարձ'!$W$53</f>
        <v>150000</v>
      </c>
      <c r="M35" s="20">
        <f>'Կառուցվածք և աշխատավարձ'!$AB$53</f>
        <v>150000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ht="30" customHeight="1" x14ac:dyDescent="0.25">
      <c r="A36" s="16"/>
      <c r="B36" s="119" t="s">
        <v>63</v>
      </c>
      <c r="C36" s="119"/>
      <c r="D36" s="22">
        <f>'Կառուցվածք և աշխատավարձ'!$F$55</f>
        <v>54</v>
      </c>
      <c r="E36" s="22">
        <f>'Կառուցվածք և աշխատավարձ'!$G$55</f>
        <v>25</v>
      </c>
      <c r="F36" s="22">
        <f>'Կառուցվածք և աշխատավարձ'!$H$55</f>
        <v>29</v>
      </c>
      <c r="G36" s="23">
        <f>'Կառուցվածք և աշխատավարձ'!$G$55/'Կառուցվածք և աշխատավարձ'!$F$55</f>
        <v>0.46296296296296297</v>
      </c>
      <c r="H36" s="22">
        <f>'Կառուցվածք և աշխատավարձ'!$P$55</f>
        <v>8310000</v>
      </c>
      <c r="I36" s="22">
        <f>'Կառուցվածք և աշխատավարձ'!$Q$55</f>
        <v>11464133.33333333</v>
      </c>
      <c r="J36" s="22">
        <f>'Կառուցվածք և աշխատավարձ'!$V$55</f>
        <v>11499000</v>
      </c>
      <c r="K36" s="22">
        <f>'Կառուցվածք և աշխատավարձ'!$AA$55</f>
        <v>15695333.333333334</v>
      </c>
      <c r="L36" s="22">
        <f>'Կառուցվածք և աշխատավարձ'!$W$55</f>
        <v>12756000</v>
      </c>
      <c r="M36" s="22">
        <f>'Կառուցվածք և աշխատավարձ'!$AB$55</f>
        <v>17392133.333333332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</row>
    <row r="37" spans="1:52" ht="6" customHeight="1" x14ac:dyDescent="0.25">
      <c r="A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</row>
    <row r="38" spans="1:52" ht="25.5" customHeight="1" x14ac:dyDescent="0.25">
      <c r="A38" s="16"/>
      <c r="B38" s="13" t="s">
        <v>64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</row>
    <row r="39" spans="1:52" ht="6" customHeight="1" x14ac:dyDescent="0.25">
      <c r="A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 spans="1:52" ht="39.75" customHeight="1" x14ac:dyDescent="0.25">
      <c r="A40" s="16"/>
      <c r="B40" s="117" t="s">
        <v>65</v>
      </c>
      <c r="C40" s="117"/>
      <c r="D40" s="17" t="s">
        <v>47</v>
      </c>
      <c r="E40" s="117" t="s">
        <v>66</v>
      </c>
      <c r="F40" s="117"/>
      <c r="G40" s="117" t="s">
        <v>67</v>
      </c>
      <c r="H40" s="117"/>
      <c r="I40" s="117"/>
      <c r="J40" s="117"/>
      <c r="K40" s="117"/>
      <c r="L40" s="117"/>
      <c r="M40" s="117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</row>
    <row r="41" spans="1:52" ht="30" customHeight="1" x14ac:dyDescent="0.25">
      <c r="A41" s="16"/>
      <c r="B41" s="118" t="str">
        <f>'Մոդելներ և պարտադիր վճարներ'!$B$42</f>
        <v>Ա. Ֆիքս + KPI բոնուս</v>
      </c>
      <c r="C41" s="118"/>
      <c r="D41" s="20">
        <f>'Մոդելներ և պարտադիր վճարներ'!$D$42</f>
        <v>46</v>
      </c>
      <c r="E41" s="118" t="str">
        <f>'Մոդելներ և պարտադիր վճարներ'!$C$42</f>
        <v>Բոլոր պաշտոնները, բացի Բ և Գ-ից</v>
      </c>
      <c r="F41" s="118"/>
      <c r="G41" s="120" t="str">
        <f>'Մոդելներ և պարտադիր վճարներ'!$E$42</f>
        <v>Ֆիքս + (Ֆիքս × բոնուսի աստիճան)։ Աստիճանը՝ KPI-ի կշռված կատարմամբ։</v>
      </c>
      <c r="H41" s="120"/>
      <c r="I41" s="120"/>
      <c r="J41" s="120"/>
      <c r="K41" s="120"/>
      <c r="L41" s="120"/>
      <c r="M41" s="120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1:52" ht="30" customHeight="1" x14ac:dyDescent="0.25">
      <c r="A42" s="16"/>
      <c r="B42" s="118" t="str">
        <f>'Մոդելներ և պարտադիր վճարներ'!$B$43</f>
        <v>Բ. D2D</v>
      </c>
      <c r="C42" s="118"/>
      <c r="D42" s="20">
        <f>'Մոդելներ և պարտադիր վճարներ'!$D$43</f>
        <v>6</v>
      </c>
      <c r="E42" s="118" t="str">
        <f>'Մոդելներ և պարտադիր վճարներ'!$C$43</f>
        <v>D2D գործակալ</v>
      </c>
      <c r="F42" s="118"/>
      <c r="G42" s="120" t="str">
        <f>'Մոդելներ և պարտադիր վճարներ'!$E$43</f>
        <v>Ֆիքսը՝ միայն պլանի 80%-ը հատելու դեպքում՝ գումարած վաճառած սակագների 100%-ը։ Շեմից ցածր՝ միայն սակագինը։ Առաստաղ չկա։</v>
      </c>
      <c r="H42" s="120"/>
      <c r="I42" s="120"/>
      <c r="J42" s="120"/>
      <c r="K42" s="120"/>
      <c r="L42" s="120"/>
      <c r="M42" s="120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</row>
    <row r="43" spans="1:52" ht="30" customHeight="1" x14ac:dyDescent="0.25">
      <c r="A43" s="16"/>
      <c r="B43" s="118" t="str">
        <f>'Մոդելներ և պարտադիր վճարներ'!$B$44</f>
        <v>Գ. ԱՁ / Outsourcing</v>
      </c>
      <c r="C43" s="118"/>
      <c r="D43" s="20">
        <f>'Մոդելներ և պարտադիր վճարներ'!$D$44</f>
        <v>2</v>
      </c>
      <c r="E43" s="118" t="str">
        <f>'Մոդելներ և պարտադիր վճարներ'!$C$44</f>
        <v>Հավաքագրող, Իրավաբան</v>
      </c>
      <c r="F43" s="118"/>
      <c r="G43" s="120" t="str">
        <f>'Մոդելներ և պարտադիր վճարներ'!$E$44</f>
        <v>Միայն հաշիվ-ապրանքագրի գումարը։ Ընկերությունը հարկ չի պահում։</v>
      </c>
      <c r="H43" s="120"/>
      <c r="I43" s="120"/>
      <c r="J43" s="120"/>
      <c r="K43" s="120"/>
      <c r="L43" s="120"/>
      <c r="M43" s="120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</row>
    <row r="44" spans="1:52" ht="9.75" customHeight="1" x14ac:dyDescent="0.25">
      <c r="A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</row>
    <row r="45" spans="1:52" ht="25.5" customHeight="1" x14ac:dyDescent="0.25">
      <c r="A45" s="16"/>
      <c r="B45" s="13" t="s">
        <v>68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</row>
    <row r="46" spans="1:52" ht="6" customHeight="1" x14ac:dyDescent="0.25">
      <c r="A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</row>
    <row r="47" spans="1:52" ht="39.75" customHeight="1" x14ac:dyDescent="0.25">
      <c r="A47" s="16"/>
      <c r="B47" s="117" t="s">
        <v>69</v>
      </c>
      <c r="C47" s="117"/>
      <c r="D47" s="117" t="s">
        <v>70</v>
      </c>
      <c r="E47" s="117"/>
      <c r="F47" s="117" t="s">
        <v>71</v>
      </c>
      <c r="G47" s="117"/>
      <c r="H47" s="117" t="s">
        <v>72</v>
      </c>
      <c r="I47" s="117"/>
      <c r="J47" s="117" t="s">
        <v>73</v>
      </c>
      <c r="K47" s="117"/>
      <c r="L47" s="117"/>
      <c r="M47" s="117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</row>
    <row r="48" spans="1:52" ht="30" customHeight="1" x14ac:dyDescent="0.25">
      <c r="A48" s="16"/>
      <c r="B48" s="121">
        <f>'Մոդելներ և պարտադիր վճարներ'!$C$57</f>
        <v>0.2</v>
      </c>
      <c r="C48" s="121"/>
      <c r="D48" s="121">
        <f>'Մոդելներ և պարտադիր վճարներ'!$C$58</f>
        <v>0.05</v>
      </c>
      <c r="E48" s="121"/>
      <c r="F48" s="122" t="str">
        <f>TEXT('Մոդելներ և պարտադիր վճարներ'!$D$67,"#,##0")&amp;" – "&amp;TEXT('Մոդելներ և պարտադիր վճարներ'!$D$71,"#,##0")</f>
        <v>1,000 – 15,000</v>
      </c>
      <c r="G48" s="122"/>
      <c r="H48" s="122" t="str">
        <f>TEXT('Մոդելներ և պարտադիր վճարներ'!$E$69,"#,##0")&amp;" / "&amp;TEXT('Մոդելներ և պարտադիր վճարներ'!$E$71,"#,##0")</f>
        <v>4,800 / 10,800</v>
      </c>
      <c r="I48" s="122"/>
      <c r="J48" s="123">
        <f>'Մոդելներ և պարտադիր վճարներ'!$C$59</f>
        <v>1.3333333333333333</v>
      </c>
      <c r="K48" s="123"/>
      <c r="L48" s="123"/>
      <c r="M48" s="123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</row>
    <row r="49" spans="1:52" ht="30" customHeight="1" x14ac:dyDescent="0.25">
      <c r="A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</row>
    <row r="50" spans="1:52" ht="30" customHeight="1" x14ac:dyDescent="0.25">
      <c r="A50" s="16"/>
      <c r="B50" s="117" t="s">
        <v>74</v>
      </c>
      <c r="C50" s="117"/>
      <c r="D50" s="117" t="s">
        <v>75</v>
      </c>
      <c r="E50" s="117"/>
      <c r="F50" s="117" t="s">
        <v>76</v>
      </c>
      <c r="G50" s="117"/>
      <c r="H50" s="117" t="s">
        <v>48</v>
      </c>
      <c r="I50" s="117"/>
      <c r="J50" s="117" t="s">
        <v>77</v>
      </c>
      <c r="K50" s="117"/>
      <c r="L50" s="117"/>
      <c r="M50" s="117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</row>
    <row r="51" spans="1:52" ht="30" customHeight="1" x14ac:dyDescent="0.25">
      <c r="A51" s="16"/>
      <c r="B51" s="124">
        <f>SUMIFS('Կառուցվածք և աշխատավարձ'!$H$7:$H$47,'Կառուցվածք և աշխատավարձ'!$I$7:$I$47,"Կրիտիկական")</f>
        <v>13</v>
      </c>
      <c r="C51" s="124"/>
      <c r="D51" s="124">
        <f>SUMIFS('Կառուցվածք և աշխատավարձ'!$H$7:$H$47,'Կառուցվածք և աշխատավարձ'!$I$7:$I$47,"Կարևոր")</f>
        <v>6</v>
      </c>
      <c r="E51" s="124"/>
      <c r="F51" s="124">
        <f>SUMIFS('Կառուցվածք և աշխատավարձ'!$H$7:$H$47,'Կառուցվածք և աշխատավարձ'!$I$7:$I$47,"Կարող է սպասել")</f>
        <v>8</v>
      </c>
      <c r="G51" s="124"/>
      <c r="H51" s="124">
        <f>'Կառուցվածք և աշխատավարձ'!$G$55-'Կառուցվածք և աշխատավարձ'!$G$53</f>
        <v>25</v>
      </c>
      <c r="I51" s="124"/>
      <c r="J51" s="124">
        <f>B51+D51+F51+H51</f>
        <v>52</v>
      </c>
      <c r="K51" s="124"/>
      <c r="L51" s="124"/>
      <c r="M51" s="124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</row>
    <row r="52" spans="1:52" ht="9.75" customHeight="1" x14ac:dyDescent="0.25">
      <c r="A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</row>
    <row r="53" spans="1:52" ht="9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</row>
    <row r="54" spans="1:52" ht="9.7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</row>
    <row r="55" spans="1:52" ht="25.5" customHeight="1" x14ac:dyDescent="0.25">
      <c r="A55" s="16"/>
      <c r="B55" s="13" t="s">
        <v>78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</row>
    <row r="56" spans="1:52" ht="6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</row>
    <row r="57" spans="1:52" ht="21.75" customHeight="1" x14ac:dyDescent="0.25">
      <c r="A57" s="16"/>
      <c r="B57" s="12" t="s">
        <v>79</v>
      </c>
      <c r="C57" s="12"/>
      <c r="D57" s="12"/>
      <c r="E57" s="11" t="s">
        <v>80</v>
      </c>
      <c r="F57" s="11"/>
      <c r="G57" s="11"/>
      <c r="H57" s="10" t="s">
        <v>81</v>
      </c>
      <c r="I57" s="10"/>
      <c r="J57" s="10"/>
      <c r="K57" s="9" t="s">
        <v>82</v>
      </c>
      <c r="L57" s="9"/>
      <c r="M57" s="9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</row>
    <row r="58" spans="1:52" ht="45.75" customHeight="1" x14ac:dyDescent="0.25">
      <c r="A58" s="16"/>
      <c r="B58" s="8">
        <f>COUNTA(KPI!$E$8:$E$107)-COUNTIF(KPI!$E$8:$E$107,"KPI չի կիրառվում")</f>
        <v>97</v>
      </c>
      <c r="C58" s="8"/>
      <c r="D58" s="8"/>
      <c r="E58" s="125" t="str">
        <f>TEXT('Մոդելներ և պարտադիր վճարներ'!$D$7,"0%")&amp;" / "&amp;TEXT('Մոդելներ և պարտադիր վճարներ'!$D$8,"0%")&amp;" / "&amp;TEXT('Մոդելներ և պարտադիր վճարներ'!$D$9,"0%")&amp;" / "&amp;TEXT('Մոդելներ և պարտադիր վճարներ'!$D$10,"0%")&amp;" / "&amp;TEXT('Մոդելներ և պարտադիր վճարներ'!$D$11,"0%")</f>
        <v>0% / 15% / 25% / 35% / 50%</v>
      </c>
      <c r="F58" s="125"/>
      <c r="G58" s="125"/>
      <c r="H58" s="6">
        <f>'Կառուցվածք և աշխատավարձ'!$AA$55-'Կառուցվածք և աշխատավարձ'!$Q$55</f>
        <v>4231200.0000000037</v>
      </c>
      <c r="I58" s="6"/>
      <c r="J58" s="6"/>
      <c r="K58" s="2">
        <f>'Կառուցվածք և աշխատավարձ'!$AB$55-'Կառուցվածք և աշխատավարձ'!$Q$55</f>
        <v>5928000.0000000019</v>
      </c>
      <c r="L58" s="2"/>
      <c r="M58" s="2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</row>
    <row r="59" spans="1:52" ht="19.5" customHeight="1" x14ac:dyDescent="0.25">
      <c r="A59" s="16"/>
      <c r="B59" s="4" t="s">
        <v>83</v>
      </c>
      <c r="C59" s="4"/>
      <c r="D59" s="4"/>
      <c r="E59" s="4" t="s">
        <v>84</v>
      </c>
      <c r="F59" s="4"/>
      <c r="G59" s="4"/>
      <c r="H59" s="4" t="s">
        <v>85</v>
      </c>
      <c r="I59" s="4"/>
      <c r="J59" s="4"/>
      <c r="K59" s="3" t="s">
        <v>86</v>
      </c>
      <c r="L59" s="3"/>
      <c r="M59" s="3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</row>
    <row r="60" spans="1:52" ht="9.7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</row>
    <row r="61" spans="1:52" ht="24" customHeight="1" x14ac:dyDescent="0.25">
      <c r="A61" s="16"/>
      <c r="B61" s="126" t="s">
        <v>87</v>
      </c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</row>
    <row r="62" spans="1:52" ht="1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</row>
    <row r="63" spans="1:52" ht="1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</row>
    <row r="64" spans="1:52" ht="1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</row>
    <row r="65" spans="1:52" ht="1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</row>
    <row r="66" spans="1:52" ht="1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</row>
    <row r="67" spans="1:52" ht="1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</row>
    <row r="68" spans="1:52" ht="1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</row>
    <row r="69" spans="1:52" ht="1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</row>
    <row r="70" spans="1:52" ht="1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</row>
    <row r="71" spans="1:52" ht="1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</row>
    <row r="72" spans="1:52" ht="1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</row>
    <row r="73" spans="1:52" ht="1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</row>
    <row r="74" spans="1:52" ht="1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</row>
    <row r="75" spans="1:52" ht="1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</row>
    <row r="76" spans="1:52" ht="1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</row>
    <row r="77" spans="1:52" ht="1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</row>
    <row r="78" spans="1:52" ht="1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</row>
    <row r="79" spans="1:52" ht="1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</row>
    <row r="80" spans="1:52" ht="1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</row>
    <row r="81" spans="1:52" ht="1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</row>
    <row r="82" spans="1:52" ht="1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</row>
    <row r="83" spans="1:52" ht="1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</row>
    <row r="84" spans="1:52" ht="1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</row>
    <row r="85" spans="1:52" ht="1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</row>
    <row r="86" spans="1:52" ht="1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</row>
    <row r="87" spans="1:52" ht="1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</row>
    <row r="88" spans="1:52" ht="1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</row>
    <row r="89" spans="1:52" ht="1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</row>
    <row r="90" spans="1:52" ht="1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</row>
    <row r="91" spans="1:52" ht="1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</row>
    <row r="92" spans="1:52" ht="1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</row>
    <row r="93" spans="1:52" ht="1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</row>
    <row r="94" spans="1:52" ht="1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</row>
    <row r="95" spans="1:52" ht="1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</row>
    <row r="96" spans="1:52" ht="1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</row>
    <row r="97" spans="1:52" ht="1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</row>
    <row r="98" spans="1:52" ht="1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</row>
    <row r="99" spans="1:52" ht="1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</row>
    <row r="100" spans="1:52" ht="1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</row>
    <row r="101" spans="1:52" ht="1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</row>
    <row r="102" spans="1:52" ht="1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</row>
    <row r="103" spans="1:52" ht="1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</row>
    <row r="104" spans="1:52" ht="1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</row>
    <row r="105" spans="1:52" ht="1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</row>
    <row r="106" spans="1:52" ht="1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</row>
    <row r="107" spans="1:52" ht="1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</row>
    <row r="108" spans="1:52" ht="1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</row>
    <row r="109" spans="1:52" ht="1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</row>
    <row r="110" spans="1:52" ht="1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</row>
    <row r="111" spans="1:52" ht="1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</row>
    <row r="112" spans="1:52" ht="1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</row>
    <row r="113" spans="1:52" ht="1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</row>
    <row r="114" spans="1:52" ht="1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</row>
    <row r="115" spans="1:52" ht="1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</row>
    <row r="116" spans="1:52" ht="1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</row>
    <row r="117" spans="1:52" ht="1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</row>
    <row r="118" spans="1:52" ht="1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</row>
    <row r="119" spans="1:52" ht="1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</row>
    <row r="120" spans="1:52" ht="1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</row>
    <row r="121" spans="1:52" ht="1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</row>
    <row r="122" spans="1:52" ht="1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</row>
    <row r="123" spans="1:52" ht="1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</row>
    <row r="124" spans="1:52" ht="1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</row>
    <row r="125" spans="1:52" ht="1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</row>
    <row r="126" spans="1:52" ht="1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</row>
    <row r="127" spans="1:52" ht="1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</row>
    <row r="128" spans="1:52" ht="1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</row>
    <row r="129" spans="1:52" ht="1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</row>
    <row r="130" spans="1:52" ht="1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</row>
    <row r="131" spans="1:52" ht="1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</row>
    <row r="132" spans="1:52" ht="1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</row>
    <row r="133" spans="1:52" ht="1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</row>
    <row r="134" spans="1:52" ht="1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</row>
    <row r="135" spans="1:52" ht="1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</row>
    <row r="136" spans="1:52" ht="1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</row>
    <row r="137" spans="1:52" ht="1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</row>
    <row r="138" spans="1:52" ht="1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</row>
    <row r="139" spans="1:52" ht="1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</row>
    <row r="140" spans="1:52" ht="1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</row>
    <row r="141" spans="1:52" ht="1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</row>
    <row r="142" spans="1:52" ht="1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</row>
    <row r="143" spans="1:52" ht="1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</row>
    <row r="144" spans="1:52" ht="1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</row>
    <row r="145" spans="1:52" ht="1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</row>
    <row r="146" spans="1:52" ht="1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</row>
    <row r="147" spans="1:52" ht="1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</row>
    <row r="148" spans="1:52" ht="1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</row>
    <row r="149" spans="1:52" ht="1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</row>
    <row r="150" spans="1:52" ht="1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</row>
    <row r="151" spans="1:52" ht="1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</row>
    <row r="152" spans="1:52" ht="1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</row>
    <row r="153" spans="1:52" ht="1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</row>
    <row r="154" spans="1:52" ht="1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</row>
    <row r="155" spans="1:52" ht="1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</row>
    <row r="156" spans="1:52" ht="1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</row>
    <row r="157" spans="1:52" ht="1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</row>
    <row r="158" spans="1:52" ht="1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</row>
    <row r="159" spans="1:52" ht="1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</row>
    <row r="160" spans="1:52" ht="1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</row>
    <row r="161" spans="1:52" ht="1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</row>
    <row r="162" spans="1:52" ht="1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</row>
    <row r="163" spans="1:52" ht="1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</row>
    <row r="164" spans="1:52" ht="1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</row>
    <row r="165" spans="1:52" ht="1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</row>
    <row r="166" spans="1:52" ht="1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</row>
    <row r="167" spans="1:52" ht="1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</row>
    <row r="168" spans="1:52" ht="1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</row>
    <row r="169" spans="1:52" ht="1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</row>
    <row r="170" spans="1:52" ht="1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</row>
    <row r="171" spans="1:52" ht="1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</row>
    <row r="172" spans="1:52" ht="1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</row>
    <row r="173" spans="1:52" ht="1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</row>
    <row r="174" spans="1:52" ht="1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</row>
    <row r="175" spans="1:52" ht="1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</row>
    <row r="176" spans="1:52" ht="1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</row>
    <row r="177" spans="1:52" ht="1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</row>
    <row r="178" spans="1:52" ht="1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</row>
    <row r="179" spans="1:52" ht="1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</row>
    <row r="180" spans="1:52" ht="1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</row>
    <row r="181" spans="1:52" ht="1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</row>
    <row r="182" spans="1:52" ht="1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</row>
    <row r="183" spans="1:52" ht="1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</row>
    <row r="184" spans="1:52" ht="1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</row>
    <row r="185" spans="1:52" ht="1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</row>
    <row r="186" spans="1:52" ht="1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</row>
    <row r="187" spans="1:52" ht="1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</row>
    <row r="188" spans="1:52" ht="1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</row>
    <row r="189" spans="1:52" ht="1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</row>
    <row r="190" spans="1:52" ht="1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</row>
    <row r="191" spans="1:52" ht="1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</row>
    <row r="192" spans="1:52" ht="1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</row>
    <row r="193" spans="1:52" ht="1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</row>
    <row r="194" spans="1:52" ht="1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</row>
    <row r="195" spans="1:52" ht="1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</row>
    <row r="196" spans="1:52" ht="1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</row>
    <row r="197" spans="1:52" ht="1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</row>
    <row r="198" spans="1:52" ht="1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</row>
    <row r="199" spans="1:52" ht="1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</row>
    <row r="200" spans="1:52" ht="1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</row>
    <row r="201" spans="1:52" ht="1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</row>
    <row r="202" spans="1:52" ht="1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</row>
    <row r="203" spans="1:52" ht="1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</row>
    <row r="204" spans="1:52" ht="1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</row>
    <row r="205" spans="1:52" ht="1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</row>
    <row r="206" spans="1:52" ht="1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</row>
    <row r="207" spans="1:52" ht="1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</row>
    <row r="208" spans="1:52" ht="1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</row>
    <row r="209" spans="1:52" ht="1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</row>
    <row r="210" spans="1:52" ht="1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</row>
    <row r="211" spans="1:52" ht="1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</row>
    <row r="212" spans="1:52" ht="1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</row>
    <row r="213" spans="1:52" ht="1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</row>
    <row r="214" spans="1:52" ht="1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</row>
    <row r="215" spans="1:52" ht="1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</row>
    <row r="216" spans="1:52" ht="1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</row>
    <row r="217" spans="1:52" ht="1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</row>
    <row r="218" spans="1:52" ht="1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</row>
    <row r="219" spans="1:52" ht="1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</row>
    <row r="220" spans="1:52" ht="1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</row>
    <row r="221" spans="1:52" ht="1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</row>
    <row r="222" spans="1:52" ht="1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</row>
    <row r="223" spans="1:52" ht="1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</row>
    <row r="224" spans="1:52" ht="1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</row>
    <row r="225" spans="1:52" ht="1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</row>
    <row r="226" spans="1:52" ht="1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</row>
    <row r="227" spans="1:52" ht="1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</row>
    <row r="228" spans="1:52" ht="1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</row>
    <row r="229" spans="1:52" ht="1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</row>
    <row r="230" spans="1:52" ht="1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</row>
    <row r="231" spans="1:52" ht="1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</row>
    <row r="232" spans="1:52" ht="1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</row>
    <row r="233" spans="1:52" ht="1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</row>
    <row r="234" spans="1:52" ht="1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</row>
    <row r="235" spans="1:52" ht="1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</row>
    <row r="236" spans="1:52" ht="1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</row>
    <row r="237" spans="1:52" ht="1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</row>
    <row r="238" spans="1:52" ht="1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</row>
    <row r="239" spans="1:52" ht="1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</row>
    <row r="240" spans="1:52" ht="1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</row>
    <row r="241" spans="1:52" ht="1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</row>
    <row r="242" spans="1:52" ht="1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</row>
    <row r="243" spans="1:52" ht="1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</row>
    <row r="244" spans="1:52" ht="1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</row>
    <row r="245" spans="1:52" ht="1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</row>
    <row r="246" spans="1:52" ht="1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</row>
    <row r="247" spans="1:52" ht="1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</row>
    <row r="248" spans="1:52" ht="1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</row>
    <row r="249" spans="1:52" ht="1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</row>
    <row r="250" spans="1:52" ht="1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</row>
    <row r="251" spans="1:52" ht="1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</row>
    <row r="252" spans="1:52" ht="1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</row>
    <row r="253" spans="1:52" ht="1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</row>
    <row r="254" spans="1:52" ht="1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</row>
    <row r="255" spans="1:52" ht="1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</row>
    <row r="256" spans="1:52" ht="1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</row>
    <row r="257" spans="1:52" ht="1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</row>
    <row r="258" spans="1:52" ht="1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</row>
    <row r="259" spans="1:52" ht="1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</row>
    <row r="260" spans="1:52" ht="1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</row>
    <row r="261" spans="1:52" ht="1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</row>
    <row r="262" spans="1:52" ht="1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</row>
    <row r="263" spans="1:52" ht="1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</row>
    <row r="264" spans="1:52" ht="1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</row>
    <row r="265" spans="1:52" ht="1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</row>
    <row r="266" spans="1:52" ht="1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</row>
    <row r="267" spans="1:52" ht="1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</row>
    <row r="268" spans="1:52" ht="1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</row>
    <row r="269" spans="1:52" ht="1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</row>
    <row r="270" spans="1:52" ht="1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</row>
    <row r="271" spans="1:52" ht="1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</row>
    <row r="272" spans="1:52" ht="1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</row>
    <row r="273" spans="1:52" ht="1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</row>
    <row r="274" spans="1:52" ht="1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</row>
    <row r="275" spans="1:52" ht="1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</row>
    <row r="276" spans="1:52" ht="1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</row>
    <row r="277" spans="1:52" ht="1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</row>
    <row r="278" spans="1:52" ht="1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</row>
    <row r="279" spans="1:52" ht="1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</row>
    <row r="280" spans="1:52" ht="1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</row>
    <row r="281" spans="1:52" ht="1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</row>
    <row r="282" spans="1:52" ht="1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</row>
    <row r="283" spans="1:52" ht="1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</row>
    <row r="284" spans="1:52" ht="1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</row>
    <row r="285" spans="1:52" ht="1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</row>
    <row r="286" spans="1:52" ht="1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</row>
    <row r="287" spans="1:52" ht="1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</row>
    <row r="288" spans="1:52" ht="1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</row>
    <row r="289" spans="1:52" ht="1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</row>
    <row r="290" spans="1:52" ht="1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</row>
    <row r="291" spans="1:52" ht="1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</row>
    <row r="292" spans="1:52" ht="1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</row>
    <row r="293" spans="1:52" ht="1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</row>
    <row r="294" spans="1:52" ht="1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</row>
    <row r="295" spans="1:52" ht="1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</row>
    <row r="296" spans="1:52" ht="1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</row>
    <row r="297" spans="1:52" ht="1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</row>
    <row r="298" spans="1:52" ht="1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</row>
    <row r="299" spans="1:52" ht="1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</row>
    <row r="300" spans="1:52" ht="1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</row>
    <row r="301" spans="1:52" ht="1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</row>
    <row r="302" spans="1:52" ht="1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</row>
    <row r="303" spans="1:52" ht="1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</row>
    <row r="304" spans="1:52" ht="1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</row>
    <row r="305" spans="1:52" ht="1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</row>
    <row r="306" spans="1:52" ht="1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</row>
    <row r="307" spans="1:52" ht="1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</row>
    <row r="308" spans="1:52" ht="1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</row>
    <row r="309" spans="1:52" ht="1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</row>
    <row r="310" spans="1:52" ht="1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</row>
    <row r="311" spans="1:52" ht="1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</row>
    <row r="312" spans="1:52" ht="1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</row>
    <row r="313" spans="1:52" ht="1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</row>
    <row r="314" spans="1:52" ht="1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</row>
    <row r="315" spans="1:52" ht="1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</row>
    <row r="316" spans="1:52" ht="1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</row>
    <row r="317" spans="1:52" ht="1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</row>
    <row r="318" spans="1:52" ht="1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</row>
    <row r="319" spans="1:52" ht="1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</row>
    <row r="320" spans="1:52" ht="1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</row>
    <row r="321" spans="1:52" ht="1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</row>
    <row r="322" spans="1:52" ht="1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</row>
    <row r="323" spans="1:52" ht="1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</row>
    <row r="324" spans="1:52" ht="1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</row>
    <row r="325" spans="1:52" ht="1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</row>
    <row r="326" spans="1:52" ht="1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</row>
    <row r="327" spans="1:52" ht="1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</row>
    <row r="328" spans="1:52" ht="1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</row>
    <row r="329" spans="1:52" ht="1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</row>
    <row r="330" spans="1:52" ht="1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</row>
    <row r="331" spans="1:52" ht="1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</row>
    <row r="332" spans="1:52" ht="1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</row>
    <row r="333" spans="1:52" ht="1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</row>
    <row r="334" spans="1:52" ht="1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</row>
    <row r="335" spans="1:52" ht="1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</row>
    <row r="336" spans="1:52" ht="1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</row>
    <row r="337" spans="1:52" ht="1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</row>
    <row r="338" spans="1:52" ht="1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</row>
    <row r="339" spans="1:52" ht="1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</row>
    <row r="340" spans="1:52" ht="1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</row>
    <row r="341" spans="1:52" ht="1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</row>
    <row r="342" spans="1:52" ht="1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</row>
    <row r="343" spans="1:52" ht="1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</row>
    <row r="344" spans="1:52" ht="1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</row>
    <row r="345" spans="1:52" ht="1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</row>
    <row r="346" spans="1:52" ht="1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</row>
    <row r="347" spans="1:52" ht="1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</row>
    <row r="348" spans="1:52" ht="1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</row>
    <row r="349" spans="1:52" ht="1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</row>
    <row r="350" spans="1:52" ht="1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</row>
    <row r="351" spans="1:52" ht="1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</row>
    <row r="352" spans="1:52" ht="1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</row>
    <row r="353" spans="1:52" ht="1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</row>
    <row r="354" spans="1:52" ht="1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</row>
    <row r="355" spans="1:52" ht="1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</row>
    <row r="356" spans="1:52" ht="1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</row>
    <row r="357" spans="1:52" ht="1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</row>
    <row r="358" spans="1:52" ht="1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</row>
    <row r="359" spans="1:52" ht="1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</row>
    <row r="360" spans="1:52" ht="1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</row>
    <row r="361" spans="1:52" ht="1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</row>
    <row r="362" spans="1:52" ht="1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</row>
    <row r="363" spans="1:52" ht="1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</row>
    <row r="364" spans="1:52" ht="1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</row>
    <row r="365" spans="1:52" ht="1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</row>
    <row r="366" spans="1:52" ht="1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</row>
    <row r="367" spans="1:52" ht="1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</row>
    <row r="368" spans="1:52" ht="1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</row>
    <row r="369" spans="1:52" ht="1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</row>
    <row r="370" spans="1:52" ht="1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</row>
    <row r="371" spans="1:52" ht="1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</row>
    <row r="372" spans="1:52" ht="1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</row>
    <row r="373" spans="1:52" ht="1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</row>
    <row r="374" spans="1:52" ht="1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</row>
    <row r="375" spans="1:52" ht="1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</row>
    <row r="376" spans="1:52" ht="1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</row>
    <row r="377" spans="1:52" ht="1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</row>
    <row r="378" spans="1:52" ht="1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</row>
    <row r="379" spans="1:52" ht="1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</row>
    <row r="380" spans="1:52" ht="1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</row>
    <row r="381" spans="1:52" ht="1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</row>
    <row r="382" spans="1:52" ht="1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</row>
    <row r="383" spans="1:52" ht="1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</row>
    <row r="384" spans="1:52" ht="1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</row>
    <row r="385" spans="1:52" ht="1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</row>
    <row r="386" spans="1:52" ht="1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</row>
    <row r="387" spans="1:52" ht="1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</row>
    <row r="388" spans="1:52" ht="1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</row>
    <row r="389" spans="1:52" ht="1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</row>
    <row r="390" spans="1:52" ht="1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</row>
    <row r="391" spans="1:52" ht="1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</row>
    <row r="392" spans="1:52" ht="1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</row>
    <row r="393" spans="1:52" ht="1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</row>
    <row r="394" spans="1:52" ht="1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</row>
    <row r="395" spans="1:52" ht="1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</row>
    <row r="396" spans="1:52" ht="1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</row>
    <row r="397" spans="1:52" ht="1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</row>
    <row r="398" spans="1:52" ht="1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</row>
    <row r="399" spans="1:52" ht="1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</row>
    <row r="400" spans="1:52" ht="1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</row>
    <row r="401" spans="1:52" ht="1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</row>
    <row r="402" spans="1:52" ht="1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</row>
    <row r="403" spans="1:52" ht="1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</row>
    <row r="404" spans="1:52" ht="1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</row>
  </sheetData>
  <mergeCells count="120">
    <mergeCell ref="B58:D58"/>
    <mergeCell ref="E58:G58"/>
    <mergeCell ref="H58:J58"/>
    <mergeCell ref="K58:M58"/>
    <mergeCell ref="B59:D59"/>
    <mergeCell ref="E59:G59"/>
    <mergeCell ref="H59:J59"/>
    <mergeCell ref="K59:M59"/>
    <mergeCell ref="B61:M61"/>
    <mergeCell ref="B51:C51"/>
    <mergeCell ref="D51:E51"/>
    <mergeCell ref="F51:G51"/>
    <mergeCell ref="H51:I51"/>
    <mergeCell ref="J51:M51"/>
    <mergeCell ref="B55:M55"/>
    <mergeCell ref="B57:D57"/>
    <mergeCell ref="E57:G57"/>
    <mergeCell ref="H57:J57"/>
    <mergeCell ref="K57:M57"/>
    <mergeCell ref="B48:C48"/>
    <mergeCell ref="D48:E48"/>
    <mergeCell ref="F48:G48"/>
    <mergeCell ref="H48:I48"/>
    <mergeCell ref="J48:M48"/>
    <mergeCell ref="B50:C50"/>
    <mergeCell ref="D50:E50"/>
    <mergeCell ref="F50:G50"/>
    <mergeCell ref="H50:I50"/>
    <mergeCell ref="J50:M50"/>
    <mergeCell ref="B43:C43"/>
    <mergeCell ref="E43:F43"/>
    <mergeCell ref="G43:M43"/>
    <mergeCell ref="B45:M45"/>
    <mergeCell ref="B47:C47"/>
    <mergeCell ref="D47:E47"/>
    <mergeCell ref="F47:G47"/>
    <mergeCell ref="H47:I47"/>
    <mergeCell ref="J47:M47"/>
    <mergeCell ref="B40:C40"/>
    <mergeCell ref="E40:F40"/>
    <mergeCell ref="G40:M40"/>
    <mergeCell ref="B41:C41"/>
    <mergeCell ref="E41:F41"/>
    <mergeCell ref="G41:M41"/>
    <mergeCell ref="B42:C42"/>
    <mergeCell ref="E42:F42"/>
    <mergeCell ref="G42:M42"/>
    <mergeCell ref="B29:C29"/>
    <mergeCell ref="B30:C30"/>
    <mergeCell ref="B31:C31"/>
    <mergeCell ref="B32:C32"/>
    <mergeCell ref="B33:C33"/>
    <mergeCell ref="B34:C34"/>
    <mergeCell ref="B35:C35"/>
    <mergeCell ref="B36:C36"/>
    <mergeCell ref="B38:M38"/>
    <mergeCell ref="B24:D24"/>
    <mergeCell ref="E24:G24"/>
    <mergeCell ref="H24:J24"/>
    <mergeCell ref="K24:M24"/>
    <mergeCell ref="B25:D25"/>
    <mergeCell ref="E25:G25"/>
    <mergeCell ref="H25:J25"/>
    <mergeCell ref="K25:M25"/>
    <mergeCell ref="B27:M27"/>
    <mergeCell ref="B21:D21"/>
    <mergeCell ref="E21:G21"/>
    <mergeCell ref="H21:J21"/>
    <mergeCell ref="K21:M21"/>
    <mergeCell ref="B22:D22"/>
    <mergeCell ref="E22:G22"/>
    <mergeCell ref="H22:J22"/>
    <mergeCell ref="K22:M22"/>
    <mergeCell ref="B23:D23"/>
    <mergeCell ref="E23:G23"/>
    <mergeCell ref="H23:J23"/>
    <mergeCell ref="K23:M23"/>
    <mergeCell ref="B17:D17"/>
    <mergeCell ref="E17:G17"/>
    <mergeCell ref="H17:J17"/>
    <mergeCell ref="K17:M17"/>
    <mergeCell ref="B18:D18"/>
    <mergeCell ref="E18:G18"/>
    <mergeCell ref="H18:J18"/>
    <mergeCell ref="K18:M18"/>
    <mergeCell ref="B20:D20"/>
    <mergeCell ref="E20:G20"/>
    <mergeCell ref="H20:J20"/>
    <mergeCell ref="K20:M20"/>
    <mergeCell ref="B13:D13"/>
    <mergeCell ref="E13:G13"/>
    <mergeCell ref="H13:J13"/>
    <mergeCell ref="K13:M13"/>
    <mergeCell ref="B14:D14"/>
    <mergeCell ref="E14:G14"/>
    <mergeCell ref="H14:J14"/>
    <mergeCell ref="K14:M14"/>
    <mergeCell ref="B16:D16"/>
    <mergeCell ref="E16:G16"/>
    <mergeCell ref="H16:J16"/>
    <mergeCell ref="K16:M16"/>
    <mergeCell ref="B8:D8"/>
    <mergeCell ref="E8:G8"/>
    <mergeCell ref="H8:J8"/>
    <mergeCell ref="K8:M8"/>
    <mergeCell ref="B10:M10"/>
    <mergeCell ref="B12:D12"/>
    <mergeCell ref="E12:G12"/>
    <mergeCell ref="H12:J12"/>
    <mergeCell ref="K12:M12"/>
    <mergeCell ref="B2:M2"/>
    <mergeCell ref="B4:M4"/>
    <mergeCell ref="B6:D6"/>
    <mergeCell ref="E6:G6"/>
    <mergeCell ref="H6:J6"/>
    <mergeCell ref="K6:M6"/>
    <mergeCell ref="B7:D7"/>
    <mergeCell ref="E7:G7"/>
    <mergeCell ref="H7:J7"/>
    <mergeCell ref="K7:M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3B68"/>
    <pageSetUpPr fitToPage="1"/>
  </sheetPr>
  <dimension ref="A1:AV403"/>
  <sheetViews>
    <sheetView showGridLines="0" zoomScale="90" zoomScaleNormal="90" workbookViewId="0">
      <pane xSplit="4" ySplit="4" topLeftCell="E41" activePane="bottomRight" state="frozen"/>
      <selection pane="topRight" activeCell="E1" sqref="E1"/>
      <selection pane="bottomLeft" activeCell="A41" sqref="A41"/>
      <selection pane="bottomRight" activeCell="B59" sqref="B59"/>
    </sheetView>
  </sheetViews>
  <sheetFormatPr defaultColWidth="8.7109375" defaultRowHeight="15" x14ac:dyDescent="0.25"/>
  <cols>
    <col min="1" max="1" width="2.7109375" style="15" customWidth="1"/>
    <col min="2" max="3" width="30.7109375" style="15" customWidth="1"/>
    <col min="4" max="4" width="57.140625" style="26" customWidth="1"/>
    <col min="5" max="5" width="11.85546875" style="26" customWidth="1"/>
    <col min="6" max="6" width="10.7109375" style="27" customWidth="1"/>
    <col min="7" max="7" width="13.140625" style="27" customWidth="1"/>
    <col min="8" max="8" width="10.7109375" style="27" customWidth="1"/>
    <col min="9" max="9" width="91.140625" style="27" customWidth="1"/>
    <col min="10" max="10" width="25.7109375" style="28" customWidth="1"/>
    <col min="11" max="15" width="23.5703125" style="28" customWidth="1"/>
    <col min="16" max="17" width="28.5703125" style="15" customWidth="1"/>
    <col min="18" max="18" width="33.28515625" style="15" customWidth="1"/>
    <col min="19" max="23" width="24.7109375" style="15" customWidth="1"/>
    <col min="24" max="28" width="26.7109375" style="15" customWidth="1"/>
    <col min="29" max="30" width="57.140625" style="15" customWidth="1"/>
  </cols>
  <sheetData>
    <row r="1" spans="1:48" ht="6" customHeight="1" x14ac:dyDescent="0.25">
      <c r="A1" s="16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</row>
    <row r="2" spans="1:48" ht="30" customHeight="1" x14ac:dyDescent="0.25">
      <c r="A2" s="16"/>
      <c r="B2" s="128" t="s">
        <v>88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29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</row>
    <row r="3" spans="1:48" ht="6" customHeight="1" x14ac:dyDescent="0.25">
      <c r="A3" s="16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</row>
    <row r="4" spans="1:48" ht="79.5" customHeight="1" x14ac:dyDescent="0.25">
      <c r="A4" s="16"/>
      <c r="B4" s="30" t="s">
        <v>46</v>
      </c>
      <c r="C4" s="31" t="s">
        <v>89</v>
      </c>
      <c r="D4" s="31" t="s">
        <v>47</v>
      </c>
      <c r="E4" s="31" t="s">
        <v>90</v>
      </c>
      <c r="F4" s="31" t="s">
        <v>91</v>
      </c>
      <c r="G4" s="31" t="s">
        <v>48</v>
      </c>
      <c r="H4" s="31" t="s">
        <v>49</v>
      </c>
      <c r="I4" s="31" t="s">
        <v>92</v>
      </c>
      <c r="J4" s="31" t="s">
        <v>93</v>
      </c>
      <c r="K4" s="31" t="str">
        <f>"Եկամտահարկ՝ "&amp;TEXT('Մոդելներ և պարտադիր վճարներ'!$C$57,"0%")</f>
        <v>Եկամտահարկ՝ 20%</v>
      </c>
      <c r="L4" s="31" t="str">
        <f>"Սոցիալական վճար՝ "&amp;TEXT('Մոդելներ և պարտադիր վճարներ'!$C$58,"0%")</f>
        <v>Սոցիալական վճար՝ 5%</v>
      </c>
      <c r="M4" s="32" t="str">
        <f>"Դրոշմանիշային վճար՝ "&amp;TEXT('Մոդելներ և պարտադիր վճարներ'!$D$67,"#,##0")&amp;"–"&amp;TEXT('Մոդելներ և պարտադիր վճարներ'!$D$71,"#,##0")&amp;" (ըստ սանդղակի)"</f>
        <v>Դրոշմանիշային վճար՝ 1,000–15,000 (ըստ սանդղակի)</v>
      </c>
      <c r="N4" s="32" t="str">
        <f>"Առողջության ապահովագրություն՝ "&amp;TEXT('Մոդելներ և պարտադիր վճարներ'!$E$69,"#,##0")&amp;" / "&amp;TEXT('Մոդելներ և պարտադիր վճարներ'!$E$71,"#,##0")&amp;" (ըստ սանդղակի)"</f>
        <v>Առողջության ապահովագրություն՝ 4,800 / 10,800 (ըստ սանդղակի)</v>
      </c>
      <c r="O4" s="32" t="str">
        <f>"Ֆիքսված աշխատավարձ հարկերը ներառյալ (× "&amp;TEXT('Մոդելներ և պարտադիր վճարներ'!$C$59,"0.0000")&amp;")"</f>
        <v>Ֆիքսված աշխատավարձ հարկերը ներառյալ (× 1.3333)</v>
      </c>
      <c r="P4" s="33" t="s">
        <v>94</v>
      </c>
      <c r="Q4" s="34" t="s">
        <v>95</v>
      </c>
      <c r="R4" s="35" t="s">
        <v>96</v>
      </c>
      <c r="S4" s="35" t="str">
        <f>"Ընդամենը մաքուր՝ &lt; 80% (բոնուս +"&amp;TEXT('Մոդելներ և պարտադիր վճարներ'!$D$7,"0%")&amp;")"</f>
        <v>Ընդամենը մաքուր՝ &lt; 80% (բոնուս +0%)</v>
      </c>
      <c r="T4" s="35" t="str">
        <f>"Ընդամենը մաքուր՝ 80–89% (բոնուս +"&amp;TEXT('Մոդելներ և պարտադիր վճարներ'!$D$8,"0%")&amp;")"</f>
        <v>Ընդամենը մաքուր՝ 80–89% (բոնուս +15%)</v>
      </c>
      <c r="U4" s="35" t="str">
        <f>"Ընդամենը մաքուր՝ 90–99% (բոնուս +"&amp;TEXT('Մոդելներ և պարտադիր վճարներ'!$D$9,"0%")&amp;")"</f>
        <v>Ընդամենը մաքուր՝ 90–99% (բոնուս +25%)</v>
      </c>
      <c r="V4" s="36" t="str">
        <f>"Ընդամենը մաքուր՝ 100–119% (բոնուս +"&amp;TEXT('Մոդելներ և պարտադիր վճարներ'!$D$10,"0%")&amp;")"</f>
        <v>Ընդամենը մաքուր՝ 100–119% (բոնուս +35%)</v>
      </c>
      <c r="W4" s="35" t="str">
        <f>"Ընդամենը մաքուր՝ ≥ 120% (բոնուս +"&amp;TEXT('Մոդելներ և պարտադիր վճարներ'!$D$11,"0%")&amp;")"</f>
        <v>Ընդամենը մաքուր՝ ≥ 120% (բոնուս +50%)</v>
      </c>
      <c r="X4" s="35" t="str">
        <f>"Ընդամենը հարկերով՝ &lt; 80% (բոնուս +"&amp;TEXT('Մոդելներ և պարտադիր վճարներ'!$D$7,"0%")&amp;")"</f>
        <v>Ընդամենը հարկերով՝ &lt; 80% (բոնուս +0%)</v>
      </c>
      <c r="Y4" s="35" t="str">
        <f>"Ընդամենը հարկերով՝ 80–89% (բոնուս +"&amp;TEXT('Մոդելներ և պարտադիր վճարներ'!$D$8,"0%")&amp;")"</f>
        <v>Ընդամենը հարկերով՝ 80–89% (բոնուս +15%)</v>
      </c>
      <c r="Z4" s="35" t="str">
        <f>"Ընդամենը հարկերով՝ 90–99% (բոնուս +"&amp;TEXT('Մոդելներ և պարտադիր վճարներ'!$D$9,"0%")&amp;")"</f>
        <v>Ընդամենը հարկերով՝ 90–99% (բոնուս +25%)</v>
      </c>
      <c r="AA4" s="36" t="str">
        <f>"Ընդամենը հարկերով՝ 100–119% (բոնուս +"&amp;TEXT('Մոդելներ և պարտադիր վճարներ'!$D$10,"0%")&amp;")"</f>
        <v>Ընդամենը հարկերով՝ 100–119% (բոնուս +35%)</v>
      </c>
      <c r="AB4" s="35" t="str">
        <f>"Ընդամենը հարկերով՝ ≥ 120% (բոնուս +"&amp;TEXT('Մոդելներ և պարտադիր վճարներ'!$D$11,"0%")&amp;")"</f>
        <v>Ընդամենը հարկերով՝ ≥ 120% (բոնուս +50%)</v>
      </c>
      <c r="AC4" s="35" t="s">
        <v>97</v>
      </c>
      <c r="AD4" s="35" t="s">
        <v>98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</row>
    <row r="5" spans="1:48" ht="6" customHeight="1" x14ac:dyDescent="0.25">
      <c r="A5" s="16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37"/>
      <c r="S5" s="38"/>
      <c r="T5" s="38"/>
      <c r="U5" s="38"/>
      <c r="V5" s="38"/>
      <c r="W5" s="38"/>
      <c r="X5" s="38"/>
      <c r="Y5" s="38"/>
      <c r="Z5" s="38"/>
      <c r="AA5" s="38"/>
      <c r="AB5" s="38"/>
      <c r="AC5" s="37"/>
      <c r="AD5" s="37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</row>
    <row r="6" spans="1:48" ht="34.5" customHeight="1" x14ac:dyDescent="0.25">
      <c r="A6" s="16"/>
      <c r="B6" s="129" t="s">
        <v>99</v>
      </c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39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</row>
    <row r="7" spans="1:48" ht="30" customHeight="1" x14ac:dyDescent="0.25">
      <c r="A7" s="16"/>
      <c r="B7" s="40" t="s">
        <v>100</v>
      </c>
      <c r="C7" s="40" t="s">
        <v>101</v>
      </c>
      <c r="D7" s="41" t="s">
        <v>102</v>
      </c>
      <c r="E7" s="42">
        <v>1</v>
      </c>
      <c r="F7" s="43">
        <v>1</v>
      </c>
      <c r="G7" s="43">
        <v>1</v>
      </c>
      <c r="H7" s="43">
        <f t="shared" ref="H7:H14" si="0">$F7-$G7</f>
        <v>0</v>
      </c>
      <c r="I7" s="44" t="s">
        <v>48</v>
      </c>
      <c r="J7" s="45">
        <v>350000</v>
      </c>
      <c r="K7" s="46">
        <f>IF(COUNTIFS('Մոդելներ և պարտադիր վճարներ'!$B$35:$B$37,$D7,'Մոդելներ և պարտադիր վճարներ'!$C$35:$C$37,"ԱՁ")&gt;0,0,$O7*'Մոդելներ և պարտադիր վճարներ'!$C$57)</f>
        <v>96480</v>
      </c>
      <c r="L7" s="46">
        <f>IF(COUNTIFS('Մոդելներ և պարտադիր վճարներ'!$B$35:$B$37,$D7,'Մոդելներ և պարտադիր վճարներ'!$C$35:$C$37,"ԱՁ")&gt;0,0,$O7*'Մոդելներ և պարտադիր վճարներ'!$C$58)</f>
        <v>24120</v>
      </c>
      <c r="M7" s="46">
        <f>IF(COUNTIFS('Մոդելներ և պարտադիր վճարներ'!$B$35:$B$37,$D7,'Մոդելներ և պարտադիր վճարներ'!$C$35:$C$37,"ԱՁ")&gt;0,0,INDEX('Մոդելներ և պարտադիր վճարներ'!$D$67:$D$71,IFERROR(MATCH(IFERROR(INDEX('Մոդելներ և պարտադիր վճարներ'!$D$35:$D$37,MATCH($D7,'Մոդելներ և պարտադիր վճարներ'!$B$35:$B$37,0)),$J7*(1+'Մոդելներ և պարտադիր վճարներ'!$C$60)),'Մոդելներ և պարտադիր վճարներ'!$F$67:$F$71,1)+1,1)))</f>
        <v>1000</v>
      </c>
      <c r="N7" s="46">
        <f>IF(COUNTIFS('Մոդելներ և պարտադիր վճարներ'!$B$35:$B$37,$D7,'Մոդելներ և պարտադիր վճարներ'!$C$35:$C$37,"ԱՁ")&gt;0,0,INDEX('Մոդելներ և պարտադիր վճարներ'!$E$67:$E$71,IFERROR(MATCH(IFERROR(INDEX('Մոդելներ և պարտադիր վճարներ'!$D$35:$D$37,MATCH($D7,'Մոդելներ և պարտադիր վճարներ'!$B$35:$B$37,0)),$J7*(1+'Մոդելներ և պարտադիր վճարներ'!$C$60)),'Մոդելներ և պարտադիր վճարներ'!$F$67:$F$71,1)+1,1)))</f>
        <v>10800</v>
      </c>
      <c r="O7" s="47">
        <f>IF(COUNTIFS('Մոդելներ և պարտադիր վճարներ'!$B$35:$B$37,$D7,'Մոդելներ և պարտադիր վճարներ'!$C$35:$C$37,"ԱՁ")&gt;0,$J7,($J7+$M7+$N7)*'Մոդելներ և պարտադիր վճարներ'!$C$59)</f>
        <v>482400</v>
      </c>
      <c r="P7" s="48">
        <f t="shared" ref="P7:P14" si="1">F7*$J7</f>
        <v>350000</v>
      </c>
      <c r="Q7" s="49">
        <f t="shared" ref="Q7:Q14" si="2">O7*F7</f>
        <v>482400</v>
      </c>
      <c r="R7" s="50" t="str">
        <f>IF(COUNTIFS('Մոդելներ և պարտադիր վճարներ'!$B$35:$B$37,$D7,'Մոդելներ և պարտադիր վճարներ'!$C$35:$C$37,"ԱՁ")&gt;0,"Գ. ԱՁ",IF(COUNTIFS('Մոդելներ և պարտադիր վճարներ'!$B$35:$B$37,$D7,'Մոդելներ և պարտադիր վճարներ'!$C$35:$C$37,"D2D")&gt;0,"Բ. D2D","Ա. Ֆիքս + KPI բոնուս"))</f>
        <v>Ա. Ֆիքս + KPI բոնուս</v>
      </c>
      <c r="S7" s="46">
        <f>IF(COUNTIFS('Մոդելներ և պարտադիր վճարներ'!$B$35:$B$37,$D7,'Մոդելներ և պարտադիր վճարներ'!$C$35:$C$37,"ԱՁ")&gt;0,$J7,IF(COUNTIFS('Մոդելներ և պարտադիր վճարներ'!$B$35:$B$37,$D7,'Մոդելներ և պարտադիր վճարներ'!$C$35:$C$37,"D2D")&gt;0,'Մոդելներ և պարտադիր վճարներ'!$G$26,$J7*(1+'Մոդելներ և պարտադիր վճարներ'!$D$7)))</f>
        <v>350000</v>
      </c>
      <c r="T7" s="46">
        <f>IF(COUNTIFS('Մոդելներ և պարտադիր վճարներ'!$B$35:$B$37,$D7,'Մոդելներ և պարտադիր վճարներ'!$C$35:$C$37,"ԱՁ")&gt;0,$J7,IF(COUNTIFS('Մոդելներ և պարտադիր վճարներ'!$B$35:$B$37,$D7,'Մոդելներ և պարտադիր վճարներ'!$C$35:$C$37,"D2D")&gt;0,'Մոդելներ և պարտադիր վճարներ'!$G$27,$J7*(1+'Մոդելներ և պարտադիր վճարներ'!$D$8)))</f>
        <v>402499.99999999994</v>
      </c>
      <c r="U7" s="46">
        <f>IF(COUNTIFS('Մոդելներ և պարտադիր վճարներ'!$B$35:$B$37,$D7,'Մոդելներ և պարտադիր վճարներ'!$C$35:$C$37,"ԱՁ")&gt;0,$J7,IF(COUNTIFS('Մոդելներ և պարտադիր վճարներ'!$B$35:$B$37,$D7,'Մոդելներ և պարտադիր վճարներ'!$C$35:$C$37,"D2D")&gt;0,'Մոդելներ և պարտադիր վճարներ'!$G$28,$J7*(1+'Մոդելներ և պարտադիր վճարներ'!$D$9)))</f>
        <v>437500</v>
      </c>
      <c r="V7" s="47">
        <f>IF(COUNTIFS('Մոդելներ և պարտադիր վճարներ'!$B$35:$B$37,$D7,'Մոդելներ և պարտադիր վճարներ'!$C$35:$C$37,"ԱՁ")&gt;0,$J7,IF(COUNTIFS('Մոդելներ և պարտադիր վճարներ'!$B$35:$B$37,$D7,'Մոդելներ և պարտադիր վճարներ'!$C$35:$C$37,"D2D")&gt;0,'Մոդելներ և պարտադիր վճարներ'!$G$29,$J7*(1+'Մոդելներ և պարտադիր վճարներ'!$D$10)))</f>
        <v>472500.00000000006</v>
      </c>
      <c r="W7" s="46">
        <f>IF(COUNTIFS('Մոդելներ և պարտադիր վճարներ'!$B$35:$B$37,$D7,'Մոդելներ և պարտադիր վճարներ'!$C$35:$C$37,"ԱՁ")&gt;0,$J7,IF(COUNTIFS('Մոդելներ և պարտադիր վճարներ'!$B$35:$B$37,$D7,'Մոդելներ և պարտադիր վճարներ'!$C$35:$C$37,"D2D")&gt;0,'Մոդելներ և պարտադիր վճարներ'!$G$30,$J7*(1+'Մոդելներ և պարտադիր վճարներ'!$D$11)))</f>
        <v>525000</v>
      </c>
      <c r="X7" s="46">
        <f>IF(COUNTIFS('Մոդելներ և պարտադիր վճարներ'!$B$35:$B$37,$D7,'Մոդելներ և պարտադիր վճարներ'!$C$35:$C$37,"ԱՁ")&gt;0,$J7,($S7+INDEX('Մոդելներ և պարտադիր վճարներ'!$D$67:$D$71,IFERROR(MATCH($S7,'Մոդելներ և պարտադիր վճարներ'!$F$67:$F$71,1)+1,1))+INDEX('Մոդելներ և պարտադիր վճարներ'!$E$67:$E$71,IFERROR(MATCH($S7,'Մոդելներ և պարտադիր վճարներ'!$F$67:$F$71,1)+1,1)))*'Մոդելներ և պարտադիր վճարներ'!$C$59)</f>
        <v>474400</v>
      </c>
      <c r="Y7" s="46">
        <f>IF(COUNTIFS('Մոդելներ և պարտադիր վճարներ'!$B$35:$B$37,$D7,'Մոդելներ և պարտադիր վճարներ'!$C$35:$C$37,"ԱՁ")&gt;0,$J7,($T7+INDEX('Մոդելներ և պարտադիր վճարներ'!$D$67:$D$71,IFERROR(MATCH($T7,'Մոդելներ և պարտադիր վճարներ'!$F$67:$F$71,1)+1,1))+INDEX('Մոդելներ և պարտադիր վճարներ'!$E$67:$E$71,IFERROR(MATCH($T7,'Մոդելներ և պարտադիր վճարներ'!$F$67:$F$71,1)+1,1)))*'Մոդելներ և պարտադիր վճարներ'!$C$59)</f>
        <v>552399.99999999988</v>
      </c>
      <c r="Z7" s="46">
        <f>IF(COUNTIFS('Մոդելներ և պարտադիր վճարներ'!$B$35:$B$37,$D7,'Մոդելներ և պարտադիր վճարներ'!$C$35:$C$37,"ԱՁ")&gt;0,$J7,($U7+INDEX('Մոդելներ և պարտադիր վճարներ'!$D$67:$D$71,IFERROR(MATCH($U7,'Մոդելներ և պարտադիր վճարներ'!$F$67:$F$71,1)+1,1))+INDEX('Մոդելներ և պարտադիր վճարներ'!$E$67:$E$71,IFERROR(MATCH($U7,'Մոդելներ և պարտադիր վճարներ'!$F$67:$F$71,1)+1,1)))*'Մոդելներ և պարտադիր վճարներ'!$C$59)</f>
        <v>599066.66666666663</v>
      </c>
      <c r="AA7" s="47">
        <f>IF(COUNTIFS('Մոդելներ և պարտադիր վճարներ'!$B$35:$B$37,$D7,'Մոդելներ և պարտադիր վճարներ'!$C$35:$C$37,"ԱՁ")&gt;0,$J7,($V7+INDEX('Մոդելներ և պարտադիր վճարներ'!$D$67:$D$71,IFERROR(MATCH($V7,'Մոդելներ և պարտադիր վճարներ'!$F$67:$F$71,1)+1,1))+INDEX('Մոդելներ և պարտադիր վճարներ'!$E$67:$E$71,IFERROR(MATCH($V7,'Մոդելներ և պարտադիր վճարներ'!$F$67:$F$71,1)+1,1)))*'Մոդելներ և պարտադիր վճարներ'!$C$59)</f>
        <v>645733.33333333337</v>
      </c>
      <c r="AB7" s="46">
        <f>IF(COUNTIFS('Մոդելներ և պարտադիր վճարներ'!$B$35:$B$37,$D7,'Մոդելներ և պարտադիր վճարներ'!$C$35:$C$37,"ԱՁ")&gt;0,$J7,($W7+INDEX('Մոդելներ և պարտադիր վճարներ'!$D$67:$D$71,IFERROR(MATCH($W7,'Մոդելներ և պարտադիր վճարներ'!$F$67:$F$71,1)+1,1))+INDEX('Մոդելներ և պարտադիր վճարներ'!$E$67:$E$71,IFERROR(MATCH($W7,'Մոդելներ և պարտադիր վճարներ'!$F$67:$F$71,1)+1,1)))*'Մոդելներ և պարտադիր վճարներ'!$C$59)</f>
        <v>715733.33333333326</v>
      </c>
      <c r="AC7" s="51" t="str">
        <f>IF(COUNTIFS('Մոդելներ և պարտադիր վճարներ'!$B$35:$B$37,$D7,'Մոդելներ և պարտադիր վճարներ'!$C$35:$C$37,"ԱՁ")&gt;0,"Աստիճաններ չեն կիրառվում — հաշիվ-ապրանքագիր",IF(COUNTIFS('Մոդելներ և պարտադիր վճարներ'!$B$35:$B$37,$D7,'Մոդելներ և պարտադիր վճարներ'!$C$35:$C$37,"D2D")&gt;0,"Աստիճաններ չեն կիրառվում — տես D2D բաժինը","Ֆիքս × (1 + աստիճանի %)"))</f>
        <v>Ֆիքս × (1 + աստիճանի %)</v>
      </c>
      <c r="AD7" s="52" t="s">
        <v>103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 spans="1:48" ht="30" customHeight="1" x14ac:dyDescent="0.25">
      <c r="A8" s="16"/>
      <c r="B8" s="53" t="s">
        <v>100</v>
      </c>
      <c r="C8" s="53" t="s">
        <v>101</v>
      </c>
      <c r="D8" s="54" t="s">
        <v>104</v>
      </c>
      <c r="E8" s="55">
        <v>1</v>
      </c>
      <c r="F8" s="56">
        <v>3</v>
      </c>
      <c r="G8" s="56">
        <v>3</v>
      </c>
      <c r="H8" s="56">
        <f t="shared" si="0"/>
        <v>0</v>
      </c>
      <c r="I8" s="57" t="s">
        <v>48</v>
      </c>
      <c r="J8" s="45">
        <v>150000</v>
      </c>
      <c r="K8" s="46">
        <f>IF(COUNTIFS('Մոդելներ և պարտադիր վճարներ'!$B$35:$B$37,$D8,'Մոդելներ և պարտադիր վճարներ'!$C$35:$C$37,"ԱՁ")&gt;0,0,$O8*'Մոդելներ և պարտադիր վճարներ'!$C$57)</f>
        <v>41546.666666666664</v>
      </c>
      <c r="L8" s="46">
        <f>IF(COUNTIFS('Մոդելներ և պարտադիր վճարներ'!$B$35:$B$37,$D8,'Մոդելներ և պարտադիր վճարներ'!$C$35:$C$37,"ԱՁ")&gt;0,0,$O8*'Մոդելներ և պարտադիր վճարներ'!$C$58)</f>
        <v>10386.666666666666</v>
      </c>
      <c r="M8" s="46">
        <f>IF(COUNTIFS('Մոդելներ և պարտադիր վճարներ'!$B$35:$B$37,$D8,'Մոդելներ և պարտադիր վճարներ'!$C$35:$C$37,"ԱՁ")&gt;0,0,INDEX('Մոդելներ և պարտադիր վճարներ'!$D$67:$D$71,IFERROR(MATCH(IFERROR(INDEX('Մոդելներ և պարտադիր վճարներ'!$D$35:$D$37,MATCH($D8,'Մոդելներ և պարտադիր վճարներ'!$B$35:$B$37,0)),$J8*(1+'Մոդելներ և պարտադիր վճարներ'!$C$60)),'Մոդելներ և պարտադիր վճարներ'!$F$67:$F$71,1)+1,1)))</f>
        <v>1000</v>
      </c>
      <c r="N8" s="46">
        <f>IF(COUNTIFS('Մոդելներ և պարտադիր վճարներ'!$B$35:$B$37,$D8,'Մոդելներ և պարտադիր վճարներ'!$C$35:$C$37,"ԱՁ")&gt;0,0,INDEX('Մոդելներ և պարտադիր վճարներ'!$E$67:$E$71,IFERROR(MATCH(IFERROR(INDEX('Մոդելներ և պարտադիր վճարներ'!$D$35:$D$37,MATCH($D8,'Մոդելներ և պարտադիր վճարներ'!$B$35:$B$37,0)),$J8*(1+'Մոդելներ և պարտադիր վճարներ'!$C$60)),'Մոդելներ և պարտադիր վճարներ'!$F$67:$F$71,1)+1,1)))</f>
        <v>4800</v>
      </c>
      <c r="O8" s="47">
        <f>IF(COUNTIFS('Մոդելներ և պարտադիր վճարներ'!$B$35:$B$37,$D8,'Մոդելներ և պարտադիր վճարներ'!$C$35:$C$37,"ԱՁ")&gt;0,$J8,($J8+$M8+$N8)*'Մոդելներ և պարտադիր վճարներ'!$C$59)</f>
        <v>207733.33333333331</v>
      </c>
      <c r="P8" s="58">
        <f t="shared" si="1"/>
        <v>450000</v>
      </c>
      <c r="Q8" s="49">
        <f t="shared" si="2"/>
        <v>623200</v>
      </c>
      <c r="R8" s="50" t="str">
        <f>IF(COUNTIFS('Մոդելներ և պարտադիր վճարներ'!$B$35:$B$37,$D8,'Մոդելներ և պարտադիր վճարներ'!$C$35:$C$37,"ԱՁ")&gt;0,"Գ. ԱՁ",IF(COUNTIFS('Մոդելներ և պարտադիր վճարներ'!$B$35:$B$37,$D8,'Մոդելներ և պարտադիր վճարներ'!$C$35:$C$37,"D2D")&gt;0,"Բ. D2D","Ա. Ֆիքս + KPI բոնուս"))</f>
        <v>Ա. Ֆիքս + KPI բոնուս</v>
      </c>
      <c r="S8" s="46">
        <f>IF(COUNTIFS('Մոդելներ և պարտադիր վճարներ'!$B$35:$B$37,$D8,'Մոդելներ և պարտադիր վճարներ'!$C$35:$C$37,"ԱՁ")&gt;0,$J8,IF(COUNTIFS('Մոդելներ և պարտադիր վճարներ'!$B$35:$B$37,$D8,'Մոդելներ և պարտադիր վճարներ'!$C$35:$C$37,"D2D")&gt;0,'Մոդելներ և պարտադիր վճարներ'!$G$26,$J8*(1+'Մոդելներ և պարտադիր վճարներ'!$D$7)))</f>
        <v>150000</v>
      </c>
      <c r="T8" s="46">
        <f>IF(COUNTIFS('Մոդելներ և պարտադիր վճարներ'!$B$35:$B$37,$D8,'Մոդելներ և պարտադիր վճարներ'!$C$35:$C$37,"ԱՁ")&gt;0,$J8,IF(COUNTIFS('Մոդելներ և պարտադիր վճարներ'!$B$35:$B$37,$D8,'Մոդելներ և պարտադիր վճարներ'!$C$35:$C$37,"D2D")&gt;0,'Մոդելներ և պարտադիր վճարներ'!$G$27,$J8*(1+'Մոդելներ և պարտադիր վճարներ'!$D$8)))</f>
        <v>172500</v>
      </c>
      <c r="U8" s="46">
        <f>IF(COUNTIFS('Մոդելներ և պարտադիր վճարներ'!$B$35:$B$37,$D8,'Մոդելներ և պարտադիր վճարներ'!$C$35:$C$37,"ԱՁ")&gt;0,$J8,IF(COUNTIFS('Մոդելներ և պարտադիր վճարներ'!$B$35:$B$37,$D8,'Մոդելներ և պարտադիր վճարներ'!$C$35:$C$37,"D2D")&gt;0,'Մոդելներ և պարտադիր վճարներ'!$G$28,$J8*(1+'Մոդելներ և պարտադիր վճարներ'!$D$9)))</f>
        <v>187500</v>
      </c>
      <c r="V8" s="47">
        <f>IF(COUNTIFS('Մոդելներ և պարտադիր վճարներ'!$B$35:$B$37,$D8,'Մոդելներ և պարտադիր վճարներ'!$C$35:$C$37,"ԱՁ")&gt;0,$J8,IF(COUNTIFS('Մոդելներ և պարտադիր վճարներ'!$B$35:$B$37,$D8,'Մոդելներ և պարտադիր վճարներ'!$C$35:$C$37,"D2D")&gt;0,'Մոդելներ և պարտադիր վճարներ'!$G$29,$J8*(1+'Մոդելներ և պարտադիր վճարներ'!$D$10)))</f>
        <v>202500</v>
      </c>
      <c r="W8" s="46">
        <f>IF(COUNTIFS('Մոդելներ և պարտադիր վճարներ'!$B$35:$B$37,$D8,'Մոդելներ և պարտադիր վճարներ'!$C$35:$C$37,"ԱՁ")&gt;0,$J8,IF(COUNTIFS('Մոդելներ և պարտադիր վճարներ'!$B$35:$B$37,$D8,'Մոդելներ և պարտադիր վճարներ'!$C$35:$C$37,"D2D")&gt;0,'Մոդելներ և պարտադիր վճարներ'!$G$30,$J8*(1+'Մոդելներ և պարտադիր վճարներ'!$D$11)))</f>
        <v>225000</v>
      </c>
      <c r="X8" s="46">
        <f>IF(COUNTIFS('Մոդելներ և պարտադիր վճարներ'!$B$35:$B$37,$D8,'Մոդելներ և պարտադիր վճարներ'!$C$35:$C$37,"ԱՁ")&gt;0,$J8,($S8+INDEX('Մոդելներ և պարտադիր վճարներ'!$D$67:$D$71,IFERROR(MATCH($S8,'Մոդելներ և պարտադիր վճարներ'!$F$67:$F$71,1)+1,1))+INDEX('Մոդելներ և պարտադիր վճարներ'!$E$67:$E$71,IFERROR(MATCH($S8,'Մոդելներ և պարտադիր վճարներ'!$F$67:$F$71,1)+1,1)))*'Մոդելներ և պարտադիր վճարներ'!$C$59)</f>
        <v>207733.33333333331</v>
      </c>
      <c r="Y8" s="46">
        <f>IF(COUNTIFS('Մոդելներ և պարտադիր վճարներ'!$B$35:$B$37,$D8,'Մոդելներ և պարտադիր վճարներ'!$C$35:$C$37,"ԱՁ")&gt;0,$J8,($T8+INDEX('Մոդելներ և պարտադիր վճարներ'!$D$67:$D$71,IFERROR(MATCH($T8,'Մոդելներ և պարտադիր վճարներ'!$F$67:$F$71,1)+1,1))+INDEX('Մոդելներ և պարտադիր վճարներ'!$E$67:$E$71,IFERROR(MATCH($T8,'Մոդելներ և պարտադիր վճարներ'!$F$67:$F$71,1)+1,1)))*'Մոդելներ և պարտադիր վճարներ'!$C$59)</f>
        <v>237733.33333333331</v>
      </c>
      <c r="Z8" s="46">
        <f>IF(COUNTIFS('Մոդելներ և պարտադիր վճարներ'!$B$35:$B$37,$D8,'Մոդելներ և պարտադիր վճարներ'!$C$35:$C$37,"ԱՁ")&gt;0,$J8,($U8+INDEX('Մոդելներ և պարտադիր վճարներ'!$D$67:$D$71,IFERROR(MATCH($U8,'Մոդելներ և պարտադիր վճարներ'!$F$67:$F$71,1)+1,1))+INDEX('Մոդելներ և պարտադիր վճարներ'!$E$67:$E$71,IFERROR(MATCH($U8,'Մոդելներ և պարտադիր վճարներ'!$F$67:$F$71,1)+1,1)))*'Մոդելներ և պարտադիր վճարներ'!$C$59)</f>
        <v>257733.33333333331</v>
      </c>
      <c r="AA8" s="47">
        <f>IF(COUNTIFS('Մոդելներ և պարտադիր վճարներ'!$B$35:$B$37,$D8,'Մոդելներ և պարտադիր վճարներ'!$C$35:$C$37,"ԱՁ")&gt;0,$J8,($V8+INDEX('Մոդելներ և պարտադիր վճարներ'!$D$67:$D$71,IFERROR(MATCH($V8,'Մոդելներ և պարտադիր վճարներ'!$F$67:$F$71,1)+1,1))+INDEX('Մոդելներ և պարտադիր վճարներ'!$E$67:$E$71,IFERROR(MATCH($V8,'Մոդելներ և պարտադիր վճարներ'!$F$67:$F$71,1)+1,1)))*'Մոդելներ և պարտադիր վճարներ'!$C$59)</f>
        <v>277733.33333333331</v>
      </c>
      <c r="AB8" s="46">
        <f>IF(COUNTIFS('Մոդելներ և պարտադիր վճարներ'!$B$35:$B$37,$D8,'Մոդելներ և պարտադիր վճարներ'!$C$35:$C$37,"ԱՁ")&gt;0,$J8,($W8+INDEX('Մոդելներ և պարտադիր վճարներ'!$D$67:$D$71,IFERROR(MATCH($W8,'Մոդելներ և պարտադիր վճարներ'!$F$67:$F$71,1)+1,1))+INDEX('Մոդելներ և պարտադիր վճարներ'!$E$67:$E$71,IFERROR(MATCH($W8,'Մոդելներ և պարտադիր վճարներ'!$F$67:$F$71,1)+1,1)))*'Մոդելներ և պարտադիր վճարներ'!$C$59)</f>
        <v>307733.33333333331</v>
      </c>
      <c r="AC8" s="51" t="str">
        <f>IF(COUNTIFS('Մոդելներ և պարտադիր վճարներ'!$B$35:$B$37,$D8,'Մոդելներ և պարտադիր վճարներ'!$C$35:$C$37,"ԱՁ")&gt;0,"Աստիճաններ չեն կիրառվում — հաշիվ-ապրանքագիր",IF(COUNTIFS('Մոդելներ և պարտադիր վճարներ'!$B$35:$B$37,$D8,'Մոդելներ և պարտադիր վճարներ'!$C$35:$C$37,"D2D")&gt;0,"Աստիճաններ չեն կիրառվում — տես D2D բաժինը","Ֆիքս × (1 + աստիճանի %)"))</f>
        <v>Ֆիքս × (1 + աստիճանի %)</v>
      </c>
      <c r="AD8" s="52" t="s">
        <v>102</v>
      </c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</row>
    <row r="9" spans="1:48" ht="30" customHeight="1" x14ac:dyDescent="0.25">
      <c r="A9" s="16"/>
      <c r="B9" s="53" t="s">
        <v>100</v>
      </c>
      <c r="C9" s="53" t="s">
        <v>101</v>
      </c>
      <c r="D9" s="54" t="s">
        <v>105</v>
      </c>
      <c r="E9" s="55">
        <v>1</v>
      </c>
      <c r="F9" s="56">
        <v>3</v>
      </c>
      <c r="G9" s="56">
        <v>0</v>
      </c>
      <c r="H9" s="56">
        <f t="shared" si="0"/>
        <v>3</v>
      </c>
      <c r="I9" s="57" t="s">
        <v>74</v>
      </c>
      <c r="J9" s="45">
        <v>120000</v>
      </c>
      <c r="K9" s="46">
        <f>IF(COUNTIFS('Մոդելներ և պարտադիր վճարներ'!$B$35:$B$37,$D9,'Մոդելներ և պարտադիր վճարներ'!$C$35:$C$37,"ԱՁ")&gt;0,0,$O9*'Մոդելներ և պարտադիր վճարներ'!$C$57)</f>
        <v>33546.666666666664</v>
      </c>
      <c r="L9" s="46">
        <f>IF(COUNTIFS('Մոդելներ և պարտադիր վճարներ'!$B$35:$B$37,$D9,'Մոդելներ և պարտադիր վճարներ'!$C$35:$C$37,"ԱՁ")&gt;0,0,$O9*'Մոդելներ և պարտադիր վճարներ'!$C$58)</f>
        <v>8386.6666666666661</v>
      </c>
      <c r="M9" s="46">
        <f>IF(COUNTIFS('Մոդելներ և պարտադիր վճարներ'!$B$35:$B$37,$D9,'Մոդելներ և պարտադիր վճարներ'!$C$35:$C$37,"ԱՁ")&gt;0,0,INDEX('Մոդելներ և պարտադիր վճարներ'!$D$67:$D$71,IFERROR(MATCH(IFERROR(INDEX('Մոդելներ և պարտադիր վճարներ'!$D$35:$D$37,MATCH($D9,'Մոդելներ և պարտադիր վճարներ'!$B$35:$B$37,0)),$J9*(1+'Մոդելներ և պարտադիր վճարներ'!$C$60)),'Մոդելներ և պարտադիր վճարներ'!$F$67:$F$71,1)+1,1)))</f>
        <v>1000</v>
      </c>
      <c r="N9" s="46">
        <f>IF(COUNTIFS('Մոդելներ և պարտադիր վճարներ'!$B$35:$B$37,$D9,'Մոդելներ և պարտադիր վճարներ'!$C$35:$C$37,"ԱՁ")&gt;0,0,INDEX('Մոդելներ և պարտադիր վճարներ'!$E$67:$E$71,IFERROR(MATCH(IFERROR(INDEX('Մոդելներ և պարտադիր վճարներ'!$D$35:$D$37,MATCH($D9,'Մոդելներ և պարտադիր վճարներ'!$B$35:$B$37,0)),$J9*(1+'Մոդելներ և պարտադիր վճարներ'!$C$60)),'Մոդելներ և պարտադիր վճարներ'!$F$67:$F$71,1)+1,1)))</f>
        <v>4800</v>
      </c>
      <c r="O9" s="47">
        <f>IF(COUNTIFS('Մոդելներ և պարտադիր վճարներ'!$B$35:$B$37,$D9,'Մոդելներ և պարտադիր վճարներ'!$C$35:$C$37,"ԱՁ")&gt;0,$J9,($J9+$M9+$N9)*'Մոդելներ և պարտադիր վճարներ'!$C$59)</f>
        <v>167733.33333333331</v>
      </c>
      <c r="P9" s="58">
        <f t="shared" si="1"/>
        <v>360000</v>
      </c>
      <c r="Q9" s="49">
        <f t="shared" si="2"/>
        <v>503199.99999999994</v>
      </c>
      <c r="R9" s="50" t="str">
        <f>IF(COUNTIFS('Մոդելներ և պարտադիր վճարներ'!$B$35:$B$37,$D9,'Մոդելներ և պարտադիր վճարներ'!$C$35:$C$37,"ԱՁ")&gt;0,"Գ. ԱՁ",IF(COUNTIFS('Մոդելներ և պարտադիր վճարներ'!$B$35:$B$37,$D9,'Մոդելներ և պարտադիր վճարներ'!$C$35:$C$37,"D2D")&gt;0,"Բ. D2D","Ա. Ֆիքս + KPI բոնուս"))</f>
        <v>Ա. Ֆիքս + KPI բոնուս</v>
      </c>
      <c r="S9" s="46">
        <f>IF(COUNTIFS('Մոդելներ և պարտադիր վճարներ'!$B$35:$B$37,$D9,'Մոդելներ և պարտադիր վճարներ'!$C$35:$C$37,"ԱՁ")&gt;0,$J9,IF(COUNTIFS('Մոդելներ և պարտադիր վճարներ'!$B$35:$B$37,$D9,'Մոդելներ և պարտադիր վճարներ'!$C$35:$C$37,"D2D")&gt;0,'Մոդելներ և պարտադիր վճարներ'!$G$26,$J9*(1+'Մոդելներ և պարտադիր վճարներ'!$D$7)))</f>
        <v>120000</v>
      </c>
      <c r="T9" s="46">
        <f>IF(COUNTIFS('Մոդելներ և պարտադիր վճարներ'!$B$35:$B$37,$D9,'Մոդելներ և պարտադիր վճարներ'!$C$35:$C$37,"ԱՁ")&gt;0,$J9,IF(COUNTIFS('Մոդելներ և պարտադիր վճարներ'!$B$35:$B$37,$D9,'Մոդելներ և պարտադիր վճարներ'!$C$35:$C$37,"D2D")&gt;0,'Մոդելներ և պարտադիր վճարներ'!$G$27,$J9*(1+'Մոդելներ և պարտադիր վճարներ'!$D$8)))</f>
        <v>138000</v>
      </c>
      <c r="U9" s="46">
        <f>IF(COUNTIFS('Մոդելներ և պարտադիր վճարներ'!$B$35:$B$37,$D9,'Մոդելներ և պարտադիր վճարներ'!$C$35:$C$37,"ԱՁ")&gt;0,$J9,IF(COUNTIFS('Մոդելներ և պարտադիր վճարներ'!$B$35:$B$37,$D9,'Մոդելներ և պարտադիր վճարներ'!$C$35:$C$37,"D2D")&gt;0,'Մոդելներ և պարտադիր վճարներ'!$G$28,$J9*(1+'Մոդելներ և պարտադիր վճարներ'!$D$9)))</f>
        <v>150000</v>
      </c>
      <c r="V9" s="47">
        <f>IF(COUNTIFS('Մոդելներ և պարտադիր վճարներ'!$B$35:$B$37,$D9,'Մոդելներ և պարտադիր վճարներ'!$C$35:$C$37,"ԱՁ")&gt;0,$J9,IF(COUNTIFS('Մոդելներ և պարտադիր վճարներ'!$B$35:$B$37,$D9,'Մոդելներ և պարտադիր վճարներ'!$C$35:$C$37,"D2D")&gt;0,'Մոդելներ և պարտադիր վճարներ'!$G$29,$J9*(1+'Մոդելներ և պարտադիր վճարներ'!$D$10)))</f>
        <v>162000</v>
      </c>
      <c r="W9" s="46">
        <f>IF(COUNTIFS('Մոդելներ և պարտադիր վճարներ'!$B$35:$B$37,$D9,'Մոդելներ և պարտադիր վճարներ'!$C$35:$C$37,"ԱՁ")&gt;0,$J9,IF(COUNTIFS('Մոդելներ և պարտադիր վճարներ'!$B$35:$B$37,$D9,'Մոդելներ և պարտադիր վճարներ'!$C$35:$C$37,"D2D")&gt;0,'Մոդելներ և պարտադիր վճարներ'!$G$30,$J9*(1+'Մոդելներ և պարտադիր վճարներ'!$D$11)))</f>
        <v>180000</v>
      </c>
      <c r="X9" s="46">
        <f>IF(COUNTIFS('Մոդելներ և պարտադիր վճարներ'!$B$35:$B$37,$D9,'Մոդելներ և պարտադիր վճարներ'!$C$35:$C$37,"ԱՁ")&gt;0,$J9,($S9+INDEX('Մոդելներ և պարտադիր վճարներ'!$D$67:$D$71,IFERROR(MATCH($S9,'Մոդելներ և պարտադիր վճարներ'!$F$67:$F$71,1)+1,1))+INDEX('Մոդելներ և պարտադիր վճարներ'!$E$67:$E$71,IFERROR(MATCH($S9,'Մոդելներ և պարտադիր վճարներ'!$F$67:$F$71,1)+1,1)))*'Մոդելներ և պարտադիր վճարներ'!$C$59)</f>
        <v>161333.33333333331</v>
      </c>
      <c r="Y9" s="46">
        <f>IF(COUNTIFS('Մոդելներ և պարտադիր վճարներ'!$B$35:$B$37,$D9,'Մոդելներ և պարտադիր վճարներ'!$C$35:$C$37,"ԱՁ")&gt;0,$J9,($T9+INDEX('Մոդելներ և պարտադիր վճարներ'!$D$67:$D$71,IFERROR(MATCH($T9,'Մոդելներ և պարտադիր վճարներ'!$F$67:$F$71,1)+1,1))+INDEX('Մոդելներ և պարտադիր վճարներ'!$E$67:$E$71,IFERROR(MATCH($T9,'Մոդելներ և պարտադիր վճարներ'!$F$67:$F$71,1)+1,1)))*'Մոդելներ և պարտադիր վճարներ'!$C$59)</f>
        <v>185333.33333333331</v>
      </c>
      <c r="Z9" s="46">
        <f>IF(COUNTIFS('Մոդելներ և պարտադիր վճարներ'!$B$35:$B$37,$D9,'Մոդելներ և պարտադիր վճարներ'!$C$35:$C$37,"ԱՁ")&gt;0,$J9,($U9+INDEX('Մոդելներ և պարտադիր վճարներ'!$D$67:$D$71,IFERROR(MATCH($U9,'Մոդելներ և պարտադիր վճարներ'!$F$67:$F$71,1)+1,1))+INDEX('Մոդելներ և պարտադիր վճարներ'!$E$67:$E$71,IFERROR(MATCH($U9,'Մոդելներ և պարտադիր վճարներ'!$F$67:$F$71,1)+1,1)))*'Մոդելներ և պարտադիր վճարներ'!$C$59)</f>
        <v>207733.33333333331</v>
      </c>
      <c r="AA9" s="47">
        <f>IF(COUNTIFS('Մոդելներ և պարտադիր վճարներ'!$B$35:$B$37,$D9,'Մոդելներ և պարտադիր վճարներ'!$C$35:$C$37,"ԱՁ")&gt;0,$J9,($V9+INDEX('Մոդելներ և պարտադիր վճարներ'!$D$67:$D$71,IFERROR(MATCH($V9,'Մոդելներ և պարտադիր վճարներ'!$F$67:$F$71,1)+1,1))+INDEX('Մոդելներ և պարտադիր վճարներ'!$E$67:$E$71,IFERROR(MATCH($V9,'Մոդելներ և պարտադիր վճարներ'!$F$67:$F$71,1)+1,1)))*'Մոդելներ և պարտադիր վճարներ'!$C$59)</f>
        <v>223733.33333333331</v>
      </c>
      <c r="AB9" s="46">
        <f>IF(COUNTIFS('Մոդելներ և պարտադիր վճարներ'!$B$35:$B$37,$D9,'Մոդելներ և պարտադիր վճարներ'!$C$35:$C$37,"ԱՁ")&gt;0,$J9,($W9+INDEX('Մոդելներ և պարտադիր վճարներ'!$D$67:$D$71,IFERROR(MATCH($W9,'Մոդելներ և պարտադիր վճարներ'!$F$67:$F$71,1)+1,1))+INDEX('Մոդելներ և պարտադիր վճարներ'!$E$67:$E$71,IFERROR(MATCH($W9,'Մոդելներ և պարտադիր վճարներ'!$F$67:$F$71,1)+1,1)))*'Մոդելներ և պարտադիր վճարներ'!$C$59)</f>
        <v>247733.33333333331</v>
      </c>
      <c r="AC9" s="51" t="str">
        <f>IF(COUNTIFS('Մոդելներ և պարտադիր վճարներ'!$B$35:$B$37,$D9,'Մոդելներ և պարտադիր վճարներ'!$C$35:$C$37,"ԱՁ")&gt;0,"Աստիճաններ չեն կիրառվում — հաշիվ-ապրանքագիր",IF(COUNTIFS('Մոդելներ և պարտադիր վճարներ'!$B$35:$B$37,$D9,'Մոդելներ և պարտադիր վճարներ'!$C$35:$C$37,"D2D")&gt;0,"Աստիճաններ չեն կիրառվում — տես D2D բաժինը","Ֆիքս × (1 + աստիճանի %)"))</f>
        <v>Ֆիքս × (1 + աստիճանի %)</v>
      </c>
      <c r="AD9" s="52" t="s">
        <v>104</v>
      </c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</row>
    <row r="10" spans="1:48" ht="30" customHeight="1" x14ac:dyDescent="0.25">
      <c r="A10" s="16"/>
      <c r="B10" s="53" t="s">
        <v>100</v>
      </c>
      <c r="C10" s="53" t="s">
        <v>101</v>
      </c>
      <c r="D10" s="54" t="s">
        <v>106</v>
      </c>
      <c r="E10" s="55">
        <v>1</v>
      </c>
      <c r="F10" s="56">
        <v>1</v>
      </c>
      <c r="G10" s="56">
        <v>1</v>
      </c>
      <c r="H10" s="56">
        <f t="shared" si="0"/>
        <v>0</v>
      </c>
      <c r="I10" s="57" t="s">
        <v>48</v>
      </c>
      <c r="J10" s="45">
        <v>150000</v>
      </c>
      <c r="K10" s="46">
        <f>IF(COUNTIFS('Մոդելներ և պարտադիր վճարներ'!$B$35:$B$37,$D10,'Մոդելներ և պարտադիր վճարներ'!$C$35:$C$37,"ԱՁ")&gt;0,0,$O10*'Մոդելներ և պարտադիր վճարներ'!$C$57)</f>
        <v>41546.666666666664</v>
      </c>
      <c r="L10" s="46">
        <f>IF(COUNTIFS('Մոդելներ և պարտադիր վճարներ'!$B$35:$B$37,$D10,'Մոդելներ և պարտադիր վճարներ'!$C$35:$C$37,"ԱՁ")&gt;0,0,$O10*'Մոդելներ և պարտադիր վճարներ'!$C$58)</f>
        <v>10386.666666666666</v>
      </c>
      <c r="M10" s="46">
        <f>IF(COUNTIFS('Մոդելներ և պարտադիր վճարներ'!$B$35:$B$37,$D10,'Մոդելներ և պարտադիր վճարներ'!$C$35:$C$37,"ԱՁ")&gt;0,0,INDEX('Մոդելներ և պարտադիր վճարներ'!$D$67:$D$71,IFERROR(MATCH(IFERROR(INDEX('Մոդելներ և պարտադիր վճարներ'!$D$35:$D$37,MATCH($D10,'Մոդելներ և պարտադիր վճարներ'!$B$35:$B$37,0)),$J10*(1+'Մոդելներ և պարտադիր վճարներ'!$C$60)),'Մոդելներ և պարտադիր վճարներ'!$F$67:$F$71,1)+1,1)))</f>
        <v>1000</v>
      </c>
      <c r="N10" s="46">
        <f>IF(COUNTIFS('Մոդելներ և պարտադիր վճարներ'!$B$35:$B$37,$D10,'Մոդելներ և պարտադիր վճարներ'!$C$35:$C$37,"ԱՁ")&gt;0,0,INDEX('Մոդելներ և պարտադիր վճարներ'!$E$67:$E$71,IFERROR(MATCH(IFERROR(INDEX('Մոդելներ և պարտադիր վճարներ'!$D$35:$D$37,MATCH($D10,'Մոդելներ և պարտադիր վճարներ'!$B$35:$B$37,0)),$J10*(1+'Մոդելներ և պարտադիր վճարներ'!$C$60)),'Մոդելներ և պարտադիր վճարներ'!$F$67:$F$71,1)+1,1)))</f>
        <v>4800</v>
      </c>
      <c r="O10" s="47">
        <f>IF(COUNTIFS('Մոդելներ և պարտադիր վճարներ'!$B$35:$B$37,$D10,'Մոդելներ և պարտադիր վճարներ'!$C$35:$C$37,"ԱՁ")&gt;0,$J10,($J10+$M10+$N10)*'Մոդելներ և պարտադիր վճարներ'!$C$59)</f>
        <v>207733.33333333331</v>
      </c>
      <c r="P10" s="58">
        <f t="shared" si="1"/>
        <v>150000</v>
      </c>
      <c r="Q10" s="49">
        <f t="shared" si="2"/>
        <v>207733.33333333331</v>
      </c>
      <c r="R10" s="50" t="str">
        <f>IF(COUNTIFS('Մոդելներ և պարտադիր վճարներ'!$B$35:$B$37,$D10,'Մոդելներ և պարտադիր վճարներ'!$C$35:$C$37,"ԱՁ")&gt;0,"Գ. ԱՁ",IF(COUNTIFS('Մոդելներ և պարտադիր վճարներ'!$B$35:$B$37,$D10,'Մոդելներ և պարտադիր վճարներ'!$C$35:$C$37,"D2D")&gt;0,"Բ. D2D","Ա. Ֆիքս + KPI բոնուս"))</f>
        <v>Ա. Ֆիքս + KPI բոնուս</v>
      </c>
      <c r="S10" s="46">
        <f>IF(COUNTIFS('Մոդելներ և պարտադիր վճարներ'!$B$35:$B$37,$D10,'Մոդելներ և պարտադիր վճարներ'!$C$35:$C$37,"ԱՁ")&gt;0,$J10,IF(COUNTIFS('Մոդելներ և պարտադիր վճարներ'!$B$35:$B$37,$D10,'Մոդելներ և պարտադիր վճարներ'!$C$35:$C$37,"D2D")&gt;0,'Մոդելներ և պարտադիր վճարներ'!$G$26,$J10*(1+'Մոդելներ և պարտադիր վճարներ'!$D$7)))</f>
        <v>150000</v>
      </c>
      <c r="T10" s="46">
        <f>IF(COUNTIFS('Մոդելներ և պարտադիր վճարներ'!$B$35:$B$37,$D10,'Մոդելներ և պարտադիր վճարներ'!$C$35:$C$37,"ԱՁ")&gt;0,$J10,IF(COUNTIFS('Մոդելներ և պարտադիր վճարներ'!$B$35:$B$37,$D10,'Մոդելներ և պարտադիր վճարներ'!$C$35:$C$37,"D2D")&gt;0,'Մոդելներ և պարտադիր վճարներ'!$G$27,$J10*(1+'Մոդելներ և պարտադիր վճարներ'!$D$8)))</f>
        <v>172500</v>
      </c>
      <c r="U10" s="46">
        <f>IF(COUNTIFS('Մոդելներ և պարտադիր վճարներ'!$B$35:$B$37,$D10,'Մոդելներ և պարտադիր վճարներ'!$C$35:$C$37,"ԱՁ")&gt;0,$J10,IF(COUNTIFS('Մոդելներ և պարտադիր վճարներ'!$B$35:$B$37,$D10,'Մոդելներ և պարտադիր վճարներ'!$C$35:$C$37,"D2D")&gt;0,'Մոդելներ և պարտադիր վճարներ'!$G$28,$J10*(1+'Մոդելներ և պարտադիր վճարներ'!$D$9)))</f>
        <v>187500</v>
      </c>
      <c r="V10" s="47">
        <f>IF(COUNTIFS('Մոդելներ և պարտադիր վճարներ'!$B$35:$B$37,$D10,'Մոդելներ և պարտադիր վճարներ'!$C$35:$C$37,"ԱՁ")&gt;0,$J10,IF(COUNTIFS('Մոդելներ և պարտադիր վճարներ'!$B$35:$B$37,$D10,'Մոդելներ և պարտադիր վճարներ'!$C$35:$C$37,"D2D")&gt;0,'Մոդելներ և պարտադիր վճարներ'!$G$29,$J10*(1+'Մոդելներ և պարտադիր վճարներ'!$D$10)))</f>
        <v>202500</v>
      </c>
      <c r="W10" s="46">
        <f>IF(COUNTIFS('Մոդելներ և պարտադիր վճարներ'!$B$35:$B$37,$D10,'Մոդելներ և պարտադիր վճարներ'!$C$35:$C$37,"ԱՁ")&gt;0,$J10,IF(COUNTIFS('Մոդելներ և պարտադիր վճարներ'!$B$35:$B$37,$D10,'Մոդելներ և պարտադիր վճարներ'!$C$35:$C$37,"D2D")&gt;0,'Մոդելներ և պարտադիր վճարներ'!$G$30,$J10*(1+'Մոդելներ և պարտադիր վճարներ'!$D$11)))</f>
        <v>225000</v>
      </c>
      <c r="X10" s="46">
        <f>IF(COUNTIFS('Մոդելներ և պարտադիր վճարներ'!$B$35:$B$37,$D10,'Մոդելներ և պարտադիր վճարներ'!$C$35:$C$37,"ԱՁ")&gt;0,$J10,($S10+INDEX('Մոդելներ և պարտադիր վճարներ'!$D$67:$D$71,IFERROR(MATCH($S10,'Մոդելներ և պարտադիր վճարներ'!$F$67:$F$71,1)+1,1))+INDEX('Մոդելներ և պարտադիր վճարներ'!$E$67:$E$71,IFERROR(MATCH($S10,'Մոդելներ և պարտադիր վճարներ'!$F$67:$F$71,1)+1,1)))*'Մոդելներ և պարտադիր վճարներ'!$C$59)</f>
        <v>207733.33333333331</v>
      </c>
      <c r="Y10" s="46">
        <f>IF(COUNTIFS('Մոդելներ և պարտադիր վճարներ'!$B$35:$B$37,$D10,'Մոդելներ և պարտադիր վճարներ'!$C$35:$C$37,"ԱՁ")&gt;0,$J10,($T10+INDEX('Մոդելներ և պարտադիր վճարներ'!$D$67:$D$71,IFERROR(MATCH($T10,'Մոդելներ և պարտադիր վճարներ'!$F$67:$F$71,1)+1,1))+INDEX('Մոդելներ և պարտադիր վճարներ'!$E$67:$E$71,IFERROR(MATCH($T10,'Մոդելներ և պարտադիր վճարներ'!$F$67:$F$71,1)+1,1)))*'Մոդելներ և պարտադիր վճարներ'!$C$59)</f>
        <v>237733.33333333331</v>
      </c>
      <c r="Z10" s="46">
        <f>IF(COUNTIFS('Մոդելներ և պարտադիր վճարներ'!$B$35:$B$37,$D10,'Մոդելներ և պարտադիր վճարներ'!$C$35:$C$37,"ԱՁ")&gt;0,$J10,($U10+INDEX('Մոդելներ և պարտադիր վճարներ'!$D$67:$D$71,IFERROR(MATCH($U10,'Մոդելներ և պարտադիր վճարներ'!$F$67:$F$71,1)+1,1))+INDEX('Մոդելներ և պարտադիր վճարներ'!$E$67:$E$71,IFERROR(MATCH($U10,'Մոդելներ և պարտադիր վճարներ'!$F$67:$F$71,1)+1,1)))*'Մոդելներ և պարտադիր վճարներ'!$C$59)</f>
        <v>257733.33333333331</v>
      </c>
      <c r="AA10" s="47">
        <f>IF(COUNTIFS('Մոդելներ և պարտադիր վճարներ'!$B$35:$B$37,$D10,'Մոդելներ և պարտադիր վճարներ'!$C$35:$C$37,"ԱՁ")&gt;0,$J10,($V10+INDEX('Մոդելներ և պարտադիր վճարներ'!$D$67:$D$71,IFERROR(MATCH($V10,'Մոդելներ և պարտադիր վճարներ'!$F$67:$F$71,1)+1,1))+INDEX('Մոդելներ և պարտադիր վճարներ'!$E$67:$E$71,IFERROR(MATCH($V10,'Մոդելներ և պարտադիր վճարներ'!$F$67:$F$71,1)+1,1)))*'Մոդելներ և պարտադիր վճարներ'!$C$59)</f>
        <v>277733.33333333331</v>
      </c>
      <c r="AB10" s="46">
        <f>IF(COUNTIFS('Մոդելներ և պարտադիր վճարներ'!$B$35:$B$37,$D10,'Մոդելներ և պարտադիր վճարներ'!$C$35:$C$37,"ԱՁ")&gt;0,$J10,($W10+INDEX('Մոդելներ և պարտադիր վճարներ'!$D$67:$D$71,IFERROR(MATCH($W10,'Մոդելներ և պարտադիր վճարներ'!$F$67:$F$71,1)+1,1))+INDEX('Մոդելներ և պարտադիր վճարներ'!$E$67:$E$71,IFERROR(MATCH($W10,'Մոդելներ և պարտադիր վճարներ'!$F$67:$F$71,1)+1,1)))*'Մոդելներ և պարտադիր վճարներ'!$C$59)</f>
        <v>307733.33333333331</v>
      </c>
      <c r="AC10" s="51" t="str">
        <f>IF(COUNTIFS('Մոդելներ և պարտադիր վճարներ'!$B$35:$B$37,$D10,'Մոդելներ և պարտադիր վճարներ'!$C$35:$C$37,"ԱՁ")&gt;0,"Աստիճաններ չեն կիրառվում — հաշիվ-ապրանքագիր",IF(COUNTIFS('Մոդելներ և պարտադիր վճարներ'!$B$35:$B$37,$D10,'Մոդելներ և պարտադիր վճարներ'!$C$35:$C$37,"D2D")&gt;0,"Աստիճաններ չեն կիրառվում — տես D2D բաժինը","Ֆիքս × (1 + աստիճանի %)"))</f>
        <v>Ֆիքս × (1 + աստիճանի %)</v>
      </c>
      <c r="AD10" s="52" t="s">
        <v>102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</row>
    <row r="11" spans="1:48" ht="30" customHeight="1" x14ac:dyDescent="0.25">
      <c r="A11" s="16"/>
      <c r="B11" s="53" t="s">
        <v>100</v>
      </c>
      <c r="C11" s="53" t="s">
        <v>101</v>
      </c>
      <c r="D11" s="54" t="s">
        <v>107</v>
      </c>
      <c r="E11" s="55">
        <v>1</v>
      </c>
      <c r="F11" s="56">
        <v>2</v>
      </c>
      <c r="G11" s="56">
        <v>0</v>
      </c>
      <c r="H11" s="56">
        <f t="shared" si="0"/>
        <v>2</v>
      </c>
      <c r="I11" s="57" t="s">
        <v>74</v>
      </c>
      <c r="J11" s="45">
        <v>100000</v>
      </c>
      <c r="K11" s="46">
        <f>IF(COUNTIFS('Մոդելներ և պարտադիր վճարներ'!$B$35:$B$37,$D11,'Մոդելներ և պարտադիր վճարներ'!$C$35:$C$37,"ԱՁ")&gt;0,0,$O11*'Մոդելներ և պարտադիր վճարներ'!$C$57)</f>
        <v>28213.333333333332</v>
      </c>
      <c r="L11" s="46">
        <f>IF(COUNTIFS('Մոդելներ և պարտադիր վճարներ'!$B$35:$B$37,$D11,'Մոդելներ և պարտադիր վճարներ'!$C$35:$C$37,"ԱՁ")&gt;0,0,$O11*'Մոդելներ և պարտադիր վճարներ'!$C$58)</f>
        <v>7053.333333333333</v>
      </c>
      <c r="M11" s="46">
        <f>IF(COUNTIFS('Մոդելներ և պարտադիր վճարներ'!$B$35:$B$37,$D11,'Մոդելներ և պարտադիր վճարներ'!$C$35:$C$37,"ԱՁ")&gt;0,0,INDEX('Մոդելներ և պարտադիր վճարներ'!$D$67:$D$71,IFERROR(MATCH(IFERROR(INDEX('Մոդելներ և պարտադիր վճարներ'!$D$35:$D$37,MATCH($D11,'Մոդելներ և պարտադիր վճարներ'!$B$35:$B$37,0)),$J11*(1+'Մոդելներ և պարտադիր վճարներ'!$C$60)),'Մոդելներ և պարտադիր վճարներ'!$F$67:$F$71,1)+1,1)))</f>
        <v>1000</v>
      </c>
      <c r="N11" s="46">
        <f>IF(COUNTIFS('Մոդելներ և պարտադիր վճարներ'!$B$35:$B$37,$D11,'Մոդելներ և պարտադիր վճարներ'!$C$35:$C$37,"ԱՁ")&gt;0,0,INDEX('Մոդելներ և պարտադիր վճարներ'!$E$67:$E$71,IFERROR(MATCH(IFERROR(INDEX('Մոդելներ և պարտադիր վճարներ'!$D$35:$D$37,MATCH($D11,'Մոդելներ և պարտադիր վճարներ'!$B$35:$B$37,0)),$J11*(1+'Մոդելներ և պարտադիր վճարներ'!$C$60)),'Մոդելներ և պարտադիր վճարներ'!$F$67:$F$71,1)+1,1)))</f>
        <v>4800</v>
      </c>
      <c r="O11" s="47">
        <f>IF(COUNTIFS('Մոդելներ և պարտադիր վճարներ'!$B$35:$B$37,$D11,'Մոդելներ և պարտադիր վճարներ'!$C$35:$C$37,"ԱՁ")&gt;0,$J11,($J11+$M11+$N11)*'Մոդելներ և պարտադիր վճարներ'!$C$59)</f>
        <v>141066.66666666666</v>
      </c>
      <c r="P11" s="58">
        <f t="shared" si="1"/>
        <v>200000</v>
      </c>
      <c r="Q11" s="49">
        <f t="shared" si="2"/>
        <v>282133.33333333331</v>
      </c>
      <c r="R11" s="50" t="str">
        <f>IF(COUNTIFS('Մոդելներ և պարտադիր վճարներ'!$B$35:$B$37,$D11,'Մոդելներ և պարտադիր վճարներ'!$C$35:$C$37,"ԱՁ")&gt;0,"Գ. ԱՁ",IF(COUNTIFS('Մոդելներ և պարտադիր վճարներ'!$B$35:$B$37,$D11,'Մոդելներ և պարտադիր վճարներ'!$C$35:$C$37,"D2D")&gt;0,"Բ. D2D","Ա. Ֆիքս + KPI բոնուս"))</f>
        <v>Ա. Ֆիքս + KPI բոնուս</v>
      </c>
      <c r="S11" s="46">
        <f>IF(COUNTIFS('Մոդելներ և պարտադիր վճարներ'!$B$35:$B$37,$D11,'Մոդելներ և պարտադիր վճարներ'!$C$35:$C$37,"ԱՁ")&gt;0,$J11,IF(COUNTIFS('Մոդելներ և պարտադիր վճարներ'!$B$35:$B$37,$D11,'Մոդելներ և պարտադիր վճարներ'!$C$35:$C$37,"D2D")&gt;0,'Մոդելներ և պարտադիր վճարներ'!$G$26,$J11*(1+'Մոդելներ և պարտադիր վճարներ'!$D$7)))</f>
        <v>100000</v>
      </c>
      <c r="T11" s="46">
        <f>IF(COUNTIFS('Մոդելներ և պարտադիր վճարներ'!$B$35:$B$37,$D11,'Մոդելներ և պարտադիր վճարներ'!$C$35:$C$37,"ԱՁ")&gt;0,$J11,IF(COUNTIFS('Մոդելներ և պարտադիր վճարներ'!$B$35:$B$37,$D11,'Մոդելներ և պարտադիր վճարներ'!$C$35:$C$37,"D2D")&gt;0,'Մոդելներ և պարտադիր վճարներ'!$G$27,$J11*(1+'Մոդելներ և պարտադիր վճարներ'!$D$8)))</f>
        <v>114999.99999999999</v>
      </c>
      <c r="U11" s="46">
        <f>IF(COUNTIFS('Մոդելներ և պարտադիր վճարներ'!$B$35:$B$37,$D11,'Մոդելներ և պարտադիր վճարներ'!$C$35:$C$37,"ԱՁ")&gt;0,$J11,IF(COUNTIFS('Մոդելներ և պարտադիր վճարներ'!$B$35:$B$37,$D11,'Մոդելներ և պարտադիր վճարներ'!$C$35:$C$37,"D2D")&gt;0,'Մոդելներ և պարտադիր վճարներ'!$G$28,$J11*(1+'Մոդելներ և պարտադիր վճարներ'!$D$9)))</f>
        <v>125000</v>
      </c>
      <c r="V11" s="47">
        <f>IF(COUNTIFS('Մոդելներ և պարտադիր վճարներ'!$B$35:$B$37,$D11,'Մոդելներ և պարտադիր վճարներ'!$C$35:$C$37,"ԱՁ")&gt;0,$J11,IF(COUNTIFS('Մոդելներ և պարտադիր վճարներ'!$B$35:$B$37,$D11,'Մոդելներ և պարտադիր վճարներ'!$C$35:$C$37,"D2D")&gt;0,'Մոդելներ և պարտադիր վճարներ'!$G$29,$J11*(1+'Մոդելներ և պարտադիր վճարներ'!$D$10)))</f>
        <v>135000</v>
      </c>
      <c r="W11" s="46">
        <f>IF(COUNTIFS('Մոդելներ և պարտադիր վճարներ'!$B$35:$B$37,$D11,'Մոդելներ և պարտադիր վճարներ'!$C$35:$C$37,"ԱՁ")&gt;0,$J11,IF(COUNTIFS('Մոդելներ և պարտադիր վճարներ'!$B$35:$B$37,$D11,'Մոդելներ և պարտադիր վճարներ'!$C$35:$C$37,"D2D")&gt;0,'Մոդելներ և պարտադիր վճարներ'!$G$30,$J11*(1+'Մոդելներ և պարտադիր վճարներ'!$D$11)))</f>
        <v>150000</v>
      </c>
      <c r="X11" s="46">
        <f>IF(COUNTIFS('Մոդելներ և պարտադիր վճարներ'!$B$35:$B$37,$D11,'Մոդելներ և պարտադիր վճարներ'!$C$35:$C$37,"ԱՁ")&gt;0,$J11,($S11+INDEX('Մոդելներ և պարտադիր վճարներ'!$D$67:$D$71,IFERROR(MATCH($S11,'Մոդելներ և պարտադիր վճարներ'!$F$67:$F$71,1)+1,1))+INDEX('Մոդելներ և պարտադիր վճարներ'!$E$67:$E$71,IFERROR(MATCH($S11,'Մոդելներ և պարտադիր վճարներ'!$F$67:$F$71,1)+1,1)))*'Մոդելներ և պարտադիր վճարներ'!$C$59)</f>
        <v>134666.66666666666</v>
      </c>
      <c r="Y11" s="46">
        <f>IF(COUNTIFS('Մոդելներ և պարտադիր վճարներ'!$B$35:$B$37,$D11,'Մոդելներ և պարտադիր վճարներ'!$C$35:$C$37,"ԱՁ")&gt;0,$J11,($T11+INDEX('Մոդելներ և պարտադիր վճարներ'!$D$67:$D$71,IFERROR(MATCH($T11,'Մոդելներ և պարտադիր վճարներ'!$F$67:$F$71,1)+1,1))+INDEX('Մոդելներ և պարտադիր վճարներ'!$E$67:$E$71,IFERROR(MATCH($T11,'Մոդելներ և պարտադիր վճարներ'!$F$67:$F$71,1)+1,1)))*'Մոդելներ և պարտադիր վճարներ'!$C$59)</f>
        <v>154666.66666666663</v>
      </c>
      <c r="Z11" s="46">
        <f>IF(COUNTIFS('Մոդելներ և պարտադիր վճարներ'!$B$35:$B$37,$D11,'Մոդելներ և պարտադիր վճարներ'!$C$35:$C$37,"ԱՁ")&gt;0,$J11,($U11+INDEX('Մոդելներ և պարտադիր վճարներ'!$D$67:$D$71,IFERROR(MATCH($U11,'Մոդելներ և պարտադիր վճարներ'!$F$67:$F$71,1)+1,1))+INDEX('Մոդելներ և պարտադիր վճարներ'!$E$67:$E$71,IFERROR(MATCH($U11,'Մոդելներ և պարտադիր վճարներ'!$F$67:$F$71,1)+1,1)))*'Մոդելներ և պարտադիր վճարներ'!$C$59)</f>
        <v>168000</v>
      </c>
      <c r="AA11" s="47">
        <f>IF(COUNTIFS('Մոդելներ և պարտադիր վճարներ'!$B$35:$B$37,$D11,'Մոդելներ և պարտադիր վճարներ'!$C$35:$C$37,"ԱՁ")&gt;0,$J11,($V11+INDEX('Մոդելներ և պարտադիր վճարներ'!$D$67:$D$71,IFERROR(MATCH($V11,'Մոդելներ և պարտադիր վճարներ'!$F$67:$F$71,1)+1,1))+INDEX('Մոդելներ և պարտադիր վճարներ'!$E$67:$E$71,IFERROR(MATCH($V11,'Մոդելներ և պարտադիր վճարներ'!$F$67:$F$71,1)+1,1)))*'Մոդելներ և պարտադիր վճարներ'!$C$59)</f>
        <v>181333.33333333331</v>
      </c>
      <c r="AB11" s="46">
        <f>IF(COUNTIFS('Մոդելներ և պարտադիր վճարներ'!$B$35:$B$37,$D11,'Մոդելներ և պարտադիր վճարներ'!$C$35:$C$37,"ԱՁ")&gt;0,$J11,($W11+INDEX('Մոդելներ և պարտադիր վճարներ'!$D$67:$D$71,IFERROR(MATCH($W11,'Մոդելներ և պարտադիր վճարներ'!$F$67:$F$71,1)+1,1))+INDEX('Մոդելներ և պարտադիր վճարներ'!$E$67:$E$71,IFERROR(MATCH($W11,'Մոդելներ և պարտադիր վճարներ'!$F$67:$F$71,1)+1,1)))*'Մոդելներ և պարտադիր վճարներ'!$C$59)</f>
        <v>207733.33333333331</v>
      </c>
      <c r="AC11" s="51" t="str">
        <f>IF(COUNTIFS('Մոդելներ և պարտադիր վճարներ'!$B$35:$B$37,$D11,'Մոդելներ և պարտադիր վճարներ'!$C$35:$C$37,"ԱՁ")&gt;0,"Աստիճաններ չեն կիրառվում — հաշիվ-ապրանքագիր",IF(COUNTIFS('Մոդելներ և պարտադիր վճարներ'!$B$35:$B$37,$D11,'Մոդելներ և պարտադիր վճարներ'!$C$35:$C$37,"D2D")&gt;0,"Աստիճաններ չեն կիրառվում — տես D2D բաժինը","Ֆիքս × (1 + աստիճանի %)"))</f>
        <v>Ֆիքս × (1 + աստիճանի %)</v>
      </c>
      <c r="AD11" s="52" t="s">
        <v>106</v>
      </c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</row>
    <row r="12" spans="1:48" ht="30" customHeight="1" x14ac:dyDescent="0.25">
      <c r="A12" s="16"/>
      <c r="B12" s="53" t="s">
        <v>100</v>
      </c>
      <c r="C12" s="53" t="s">
        <v>108</v>
      </c>
      <c r="D12" s="54" t="s">
        <v>109</v>
      </c>
      <c r="E12" s="55">
        <v>1</v>
      </c>
      <c r="F12" s="56">
        <v>1</v>
      </c>
      <c r="G12" s="56">
        <v>1</v>
      </c>
      <c r="H12" s="56">
        <f t="shared" si="0"/>
        <v>0</v>
      </c>
      <c r="I12" s="57" t="s">
        <v>48</v>
      </c>
      <c r="J12" s="45">
        <v>150000</v>
      </c>
      <c r="K12" s="46">
        <f>IF(COUNTIFS('Մոդելներ և պարտադիր վճարներ'!$B$35:$B$37,$D12,'Մոդելներ և պարտադիր վճարներ'!$C$35:$C$37,"ԱՁ")&gt;0,0,$O12*'Մոդելներ և պարտադիր վճարներ'!$C$57)</f>
        <v>41546.666666666664</v>
      </c>
      <c r="L12" s="46">
        <f>IF(COUNTIFS('Մոդելներ և պարտադիր վճարներ'!$B$35:$B$37,$D12,'Մոդելներ և պարտադիր վճարներ'!$C$35:$C$37,"ԱՁ")&gt;0,0,$O12*'Մոդելներ և պարտադիր վճարներ'!$C$58)</f>
        <v>10386.666666666666</v>
      </c>
      <c r="M12" s="46">
        <f>IF(COUNTIFS('Մոդելներ և պարտադիր վճարներ'!$B$35:$B$37,$D12,'Մոդելներ և պարտադիր վճարներ'!$C$35:$C$37,"ԱՁ")&gt;0,0,INDEX('Մոդելներ և պարտադիր վճարներ'!$D$67:$D$71,IFERROR(MATCH(IFERROR(INDEX('Մոդելներ և պարտադիր վճարներ'!$D$35:$D$37,MATCH($D12,'Մոդելներ և պարտադիր վճարներ'!$B$35:$B$37,0)),$J12*(1+'Մոդելներ և պարտադիր վճարներ'!$C$60)),'Մոդելներ և պարտադիր վճարներ'!$F$67:$F$71,1)+1,1)))</f>
        <v>1000</v>
      </c>
      <c r="N12" s="46">
        <f>IF(COUNTIFS('Մոդելներ և պարտադիր վճարներ'!$B$35:$B$37,$D12,'Մոդելներ և պարտադիր վճարներ'!$C$35:$C$37,"ԱՁ")&gt;0,0,INDEX('Մոդելներ և պարտադիր վճարներ'!$E$67:$E$71,IFERROR(MATCH(IFERROR(INDEX('Մոդելներ և պարտադիր վճարներ'!$D$35:$D$37,MATCH($D12,'Մոդելներ և պարտադիր վճարներ'!$B$35:$B$37,0)),$J12*(1+'Մոդելներ և պարտադիր վճարներ'!$C$60)),'Մոդելներ և պարտադիր վճարներ'!$F$67:$F$71,1)+1,1)))</f>
        <v>4800</v>
      </c>
      <c r="O12" s="47">
        <f>IF(COUNTIFS('Մոդելներ և պարտադիր վճարներ'!$B$35:$B$37,$D12,'Մոդելներ և պարտադիր վճարներ'!$C$35:$C$37,"ԱՁ")&gt;0,$J12,($J12+$M12+$N12)*'Մոդելներ և պարտադիր վճարներ'!$C$59)</f>
        <v>207733.33333333331</v>
      </c>
      <c r="P12" s="58">
        <f t="shared" si="1"/>
        <v>150000</v>
      </c>
      <c r="Q12" s="49">
        <f t="shared" si="2"/>
        <v>207733.33333333331</v>
      </c>
      <c r="R12" s="50" t="str">
        <f>IF(COUNTIFS('Մոդելներ և պարտադիր վճարներ'!$B$35:$B$37,$D12,'Մոդելներ և պարտադիր վճարներ'!$C$35:$C$37,"ԱՁ")&gt;0,"Գ. ԱՁ",IF(COUNTIFS('Մոդելներ և պարտադիր վճարներ'!$B$35:$B$37,$D12,'Մոդելներ և պարտադիր վճարներ'!$C$35:$C$37,"D2D")&gt;0,"Բ. D2D","Ա. Ֆիքս + KPI բոնուս"))</f>
        <v>Ա. Ֆիքս + KPI բոնուս</v>
      </c>
      <c r="S12" s="46">
        <f>IF(COUNTIFS('Մոդելներ և պարտադիր վճարներ'!$B$35:$B$37,$D12,'Մոդելներ և պարտադիր վճարներ'!$C$35:$C$37,"ԱՁ")&gt;0,$J12,IF(COUNTIFS('Մոդելներ և պարտադիր վճարներ'!$B$35:$B$37,$D12,'Մոդելներ և պարտադիր վճարներ'!$C$35:$C$37,"D2D")&gt;0,'Մոդելներ և պարտադիր վճարներ'!$G$26,$J12*(1+'Մոդելներ և պարտադիր վճարներ'!$D$7)))</f>
        <v>150000</v>
      </c>
      <c r="T12" s="46">
        <f>IF(COUNTIFS('Մոդելներ և պարտադիր վճարներ'!$B$35:$B$37,$D12,'Մոդելներ և պարտադիր վճարներ'!$C$35:$C$37,"ԱՁ")&gt;0,$J12,IF(COUNTIFS('Մոդելներ և պարտադիր վճարներ'!$B$35:$B$37,$D12,'Մոդելներ և պարտադիր վճարներ'!$C$35:$C$37,"D2D")&gt;0,'Մոդելներ և պարտադիր վճարներ'!$G$27,$J12*(1+'Մոդելներ և պարտադիր վճարներ'!$D$8)))</f>
        <v>172500</v>
      </c>
      <c r="U12" s="46">
        <f>IF(COUNTIFS('Մոդելներ և պարտադիր վճարներ'!$B$35:$B$37,$D12,'Մոդելներ և պարտադիր վճարներ'!$C$35:$C$37,"ԱՁ")&gt;0,$J12,IF(COUNTIFS('Մոդելներ և պարտադիր վճարներ'!$B$35:$B$37,$D12,'Մոդելներ և պարտադիր վճարներ'!$C$35:$C$37,"D2D")&gt;0,'Մոդելներ և պարտադիր վճարներ'!$G$28,$J12*(1+'Մոդելներ և պարտադիր վճարներ'!$D$9)))</f>
        <v>187500</v>
      </c>
      <c r="V12" s="47">
        <f>IF(COUNTIFS('Մոդելներ և պարտադիր վճարներ'!$B$35:$B$37,$D12,'Մոդելներ և պարտադիր վճարներ'!$C$35:$C$37,"ԱՁ")&gt;0,$J12,IF(COUNTIFS('Մոդելներ և պարտադիր վճարներ'!$B$35:$B$37,$D12,'Մոդելներ և պարտադիր վճարներ'!$C$35:$C$37,"D2D")&gt;0,'Մոդելներ և պարտադիր վճարներ'!$G$29,$J12*(1+'Մոդելներ և պարտադիր վճարներ'!$D$10)))</f>
        <v>202500</v>
      </c>
      <c r="W12" s="46">
        <f>IF(COUNTIFS('Մոդելներ և պարտադիր վճարներ'!$B$35:$B$37,$D12,'Մոդելներ և պարտադիր վճարներ'!$C$35:$C$37,"ԱՁ")&gt;0,$J12,IF(COUNTIFS('Մոդելներ և պարտադիր վճարներ'!$B$35:$B$37,$D12,'Մոդելներ և պարտադիր վճարներ'!$C$35:$C$37,"D2D")&gt;0,'Մոդելներ և պարտադիր վճարներ'!$G$30,$J12*(1+'Մոդելներ և պարտադիր վճարներ'!$D$11)))</f>
        <v>225000</v>
      </c>
      <c r="X12" s="46">
        <f>IF(COUNTIFS('Մոդելներ և պարտադիր վճարներ'!$B$35:$B$37,$D12,'Մոդելներ և պարտադիր վճարներ'!$C$35:$C$37,"ԱՁ")&gt;0,$J12,($S12+INDEX('Մոդելներ և պարտադիր վճարներ'!$D$67:$D$71,IFERROR(MATCH($S12,'Մոդելներ և պարտադիր վճարներ'!$F$67:$F$71,1)+1,1))+INDEX('Մոդելներ և պարտադիր վճարներ'!$E$67:$E$71,IFERROR(MATCH($S12,'Մոդելներ և պարտադիր վճարներ'!$F$67:$F$71,1)+1,1)))*'Մոդելներ և պարտադիր վճարներ'!$C$59)</f>
        <v>207733.33333333331</v>
      </c>
      <c r="Y12" s="46">
        <f>IF(COUNTIFS('Մոդելներ և պարտադիր վճարներ'!$B$35:$B$37,$D12,'Մոդելներ և պարտադիր վճարներ'!$C$35:$C$37,"ԱՁ")&gt;0,$J12,($T12+INDEX('Մոդելներ և պարտադիր վճարներ'!$D$67:$D$71,IFERROR(MATCH($T12,'Մոդելներ և պարտադիր վճարներ'!$F$67:$F$71,1)+1,1))+INDEX('Մոդելներ և պարտադիր վճարներ'!$E$67:$E$71,IFERROR(MATCH($T12,'Մոդելներ և պարտադիր վճարներ'!$F$67:$F$71,1)+1,1)))*'Մոդելներ և պարտադիր վճարներ'!$C$59)</f>
        <v>237733.33333333331</v>
      </c>
      <c r="Z12" s="46">
        <f>IF(COUNTIFS('Մոդելներ և պարտադիր վճարներ'!$B$35:$B$37,$D12,'Մոդելներ և պարտադիր վճարներ'!$C$35:$C$37,"ԱՁ")&gt;0,$J12,($U12+INDEX('Մոդելներ և պարտադիր վճարներ'!$D$67:$D$71,IFERROR(MATCH($U12,'Մոդելներ և պարտադիր վճարներ'!$F$67:$F$71,1)+1,1))+INDEX('Մոդելներ և պարտադիր վճարներ'!$E$67:$E$71,IFERROR(MATCH($U12,'Մոդելներ և պարտադիր վճարներ'!$F$67:$F$71,1)+1,1)))*'Մոդելներ և պարտադիր վճարներ'!$C$59)</f>
        <v>257733.33333333331</v>
      </c>
      <c r="AA12" s="47">
        <f>IF(COUNTIFS('Մոդելներ և պարտադիր վճարներ'!$B$35:$B$37,$D12,'Մոդելներ և պարտադիր վճարներ'!$C$35:$C$37,"ԱՁ")&gt;0,$J12,($V12+INDEX('Մոդելներ և պարտադիր վճարներ'!$D$67:$D$71,IFERROR(MATCH($V12,'Մոդելներ և պարտադիր վճարներ'!$F$67:$F$71,1)+1,1))+INDEX('Մոդելներ և պարտադիր վճարներ'!$E$67:$E$71,IFERROR(MATCH($V12,'Մոդելներ և պարտադիր վճարներ'!$F$67:$F$71,1)+1,1)))*'Մոդելներ և պարտադիր վճարներ'!$C$59)</f>
        <v>277733.33333333331</v>
      </c>
      <c r="AB12" s="46">
        <f>IF(COUNTIFS('Մոդելներ և պարտադիր վճարներ'!$B$35:$B$37,$D12,'Մոդելներ և պարտադիր վճարներ'!$C$35:$C$37,"ԱՁ")&gt;0,$J12,($W12+INDEX('Մոդելներ և պարտադիր վճարներ'!$D$67:$D$71,IFERROR(MATCH($W12,'Մոդելներ և պարտադիր վճարներ'!$F$67:$F$71,1)+1,1))+INDEX('Մոդելներ և պարտադիր վճարներ'!$E$67:$E$71,IFERROR(MATCH($W12,'Մոդելներ և պարտադիր վճարներ'!$F$67:$F$71,1)+1,1)))*'Մոդելներ և պարտադիր վճարներ'!$C$59)</f>
        <v>307733.33333333331</v>
      </c>
      <c r="AC12" s="51" t="str">
        <f>IF(COUNTIFS('Մոդելներ և պարտադիր վճարներ'!$B$35:$B$37,$D12,'Մոդելներ և պարտադիր վճարներ'!$C$35:$C$37,"ԱՁ")&gt;0,"Աստիճաններ չեն կիրառվում — հաշիվ-ապրանքագիր",IF(COUNTIFS('Մոդելներ և պարտադիր վճարներ'!$B$35:$B$37,$D12,'Մոդելներ և պարտադիր վճարներ'!$C$35:$C$37,"D2D")&gt;0,"Աստիճաններ չեն կիրառվում — տես D2D բաժինը","Ֆիքս × (1 + աստիճանի %)"))</f>
        <v>Ֆիքս × (1 + աստիճանի %)</v>
      </c>
      <c r="AD12" s="52" t="s">
        <v>103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ht="30" customHeight="1" x14ac:dyDescent="0.25">
      <c r="A13" s="16"/>
      <c r="B13" s="53" t="s">
        <v>100</v>
      </c>
      <c r="C13" s="53" t="s">
        <v>108</v>
      </c>
      <c r="D13" s="54" t="s">
        <v>110</v>
      </c>
      <c r="E13" s="55">
        <v>1</v>
      </c>
      <c r="F13" s="56">
        <v>1</v>
      </c>
      <c r="G13" s="56">
        <v>0</v>
      </c>
      <c r="H13" s="56">
        <f t="shared" si="0"/>
        <v>1</v>
      </c>
      <c r="I13" s="57" t="s">
        <v>76</v>
      </c>
      <c r="J13" s="45">
        <v>150000</v>
      </c>
      <c r="K13" s="46">
        <f>IF(COUNTIFS('Մոդելներ և պարտադիր վճարներ'!$B$35:$B$37,$D13,'Մոդելներ և պարտադիր վճարներ'!$C$35:$C$37,"ԱՁ")&gt;0,0,$O13*'Մոդելներ և պարտադիր վճարներ'!$C$57)</f>
        <v>41546.666666666664</v>
      </c>
      <c r="L13" s="46">
        <f>IF(COUNTIFS('Մոդելներ և պարտադիր վճարներ'!$B$35:$B$37,$D13,'Մոդելներ և պարտադիր վճարներ'!$C$35:$C$37,"ԱՁ")&gt;0,0,$O13*'Մոդելներ և պարտադիր վճարներ'!$C$58)</f>
        <v>10386.666666666666</v>
      </c>
      <c r="M13" s="46">
        <f>IF(COUNTIFS('Մոդելներ և պարտադիր վճարներ'!$B$35:$B$37,$D13,'Մոդելներ և պարտադիր վճարներ'!$C$35:$C$37,"ԱՁ")&gt;0,0,INDEX('Մոդելներ և պարտադիր վճարներ'!$D$67:$D$71,IFERROR(MATCH(IFERROR(INDEX('Մոդելներ և պարտադիր վճարներ'!$D$35:$D$37,MATCH($D13,'Մոդելներ և պարտադիր վճարներ'!$B$35:$B$37,0)),$J13*(1+'Մոդելներ և պարտադիր վճարներ'!$C$60)),'Մոդելներ և պարտադիր վճարներ'!$F$67:$F$71,1)+1,1)))</f>
        <v>1000</v>
      </c>
      <c r="N13" s="46">
        <f>IF(COUNTIFS('Մոդելներ և պարտադիր վճարներ'!$B$35:$B$37,$D13,'Մոդելներ և պարտադիր վճարներ'!$C$35:$C$37,"ԱՁ")&gt;0,0,INDEX('Մոդելներ և պարտադիր վճարներ'!$E$67:$E$71,IFERROR(MATCH(IFERROR(INDEX('Մոդելներ և պարտադիր վճարներ'!$D$35:$D$37,MATCH($D13,'Մոդելներ և պարտադիր վճարներ'!$B$35:$B$37,0)),$J13*(1+'Մոդելներ և պարտադիր վճարներ'!$C$60)),'Մոդելներ և պարտադիր վճարներ'!$F$67:$F$71,1)+1,1)))</f>
        <v>4800</v>
      </c>
      <c r="O13" s="47">
        <f>IF(COUNTIFS('Մոդելներ և պարտադիր վճարներ'!$B$35:$B$37,$D13,'Մոդելներ և պարտադիր վճարներ'!$C$35:$C$37,"ԱՁ")&gt;0,$J13,($J13+$M13+$N13)*'Մոդելներ և պարտադիր վճարներ'!$C$59)</f>
        <v>207733.33333333331</v>
      </c>
      <c r="P13" s="58">
        <f t="shared" si="1"/>
        <v>150000</v>
      </c>
      <c r="Q13" s="49">
        <f t="shared" si="2"/>
        <v>207733.33333333331</v>
      </c>
      <c r="R13" s="50" t="str">
        <f>IF(COUNTIFS('Մոդելներ և պարտադիր վճարներ'!$B$35:$B$37,$D13,'Մոդելներ և պարտադիր վճարներ'!$C$35:$C$37,"ԱՁ")&gt;0,"Գ. ԱՁ",IF(COUNTIFS('Մոդելներ և պարտադիր վճարներ'!$B$35:$B$37,$D13,'Մոդելներ և պարտադիր վճարներ'!$C$35:$C$37,"D2D")&gt;0,"Բ. D2D","Ա. Ֆիքս + KPI բոնուս"))</f>
        <v>Ա. Ֆիքս + KPI բոնուս</v>
      </c>
      <c r="S13" s="46">
        <f>IF(COUNTIFS('Մոդելներ և պարտադիր վճարներ'!$B$35:$B$37,$D13,'Մոդելներ և պարտադիր վճարներ'!$C$35:$C$37,"ԱՁ")&gt;0,$J13,IF(COUNTIFS('Մոդելներ և պարտադիր վճարներ'!$B$35:$B$37,$D13,'Մոդելներ և պարտադիր վճարներ'!$C$35:$C$37,"D2D")&gt;0,'Մոդելներ և պարտադիր վճարներ'!$G$26,$J13*(1+'Մոդելներ և պարտադիր վճարներ'!$D$7)))</f>
        <v>150000</v>
      </c>
      <c r="T13" s="46">
        <f>IF(COUNTIFS('Մոդելներ և պարտադիր վճարներ'!$B$35:$B$37,$D13,'Մոդելներ և պարտադիր վճարներ'!$C$35:$C$37,"ԱՁ")&gt;0,$J13,IF(COUNTIFS('Մոդելներ և պարտադիր վճարներ'!$B$35:$B$37,$D13,'Մոդելներ և պարտադիր վճարներ'!$C$35:$C$37,"D2D")&gt;0,'Մոդելներ և պարտադիր վճարներ'!$G$27,$J13*(1+'Մոդելներ և պարտադիր վճարներ'!$D$8)))</f>
        <v>172500</v>
      </c>
      <c r="U13" s="46">
        <f>IF(COUNTIFS('Մոդելներ և պարտադիր վճարներ'!$B$35:$B$37,$D13,'Մոդելներ և պարտադիր վճարներ'!$C$35:$C$37,"ԱՁ")&gt;0,$J13,IF(COUNTIFS('Մոդելներ և պարտադիր վճարներ'!$B$35:$B$37,$D13,'Մոդելներ և պարտադիր վճարներ'!$C$35:$C$37,"D2D")&gt;0,'Մոդելներ և պարտադիր վճարներ'!$G$28,$J13*(1+'Մոդելներ և պարտադիր վճարներ'!$D$9)))</f>
        <v>187500</v>
      </c>
      <c r="V13" s="47">
        <f>IF(COUNTIFS('Մոդելներ և պարտադիր վճարներ'!$B$35:$B$37,$D13,'Մոդելներ և պարտադիր վճարներ'!$C$35:$C$37,"ԱՁ")&gt;0,$J13,IF(COUNTIFS('Մոդելներ և պարտադիր վճարներ'!$B$35:$B$37,$D13,'Մոդելներ և պարտադիր վճարներ'!$C$35:$C$37,"D2D")&gt;0,'Մոդելներ և պարտադիր վճարներ'!$G$29,$J13*(1+'Մոդելներ և պարտադիր վճարներ'!$D$10)))</f>
        <v>202500</v>
      </c>
      <c r="W13" s="46">
        <f>IF(COUNTIFS('Մոդելներ և պարտադիր վճարներ'!$B$35:$B$37,$D13,'Մոդելներ և պարտադիր վճարներ'!$C$35:$C$37,"ԱՁ")&gt;0,$J13,IF(COUNTIFS('Մոդելներ և պարտադիր վճարներ'!$B$35:$B$37,$D13,'Մոդելներ և պարտադիր վճարներ'!$C$35:$C$37,"D2D")&gt;0,'Մոդելներ և պարտադիր վճարներ'!$G$30,$J13*(1+'Մոդելներ և պարտադիր վճարներ'!$D$11)))</f>
        <v>225000</v>
      </c>
      <c r="X13" s="46">
        <f>IF(COUNTIFS('Մոդելներ և պարտադիր վճարներ'!$B$35:$B$37,$D13,'Մոդելներ և պարտադիր վճարներ'!$C$35:$C$37,"ԱՁ")&gt;0,$J13,($S13+INDEX('Մոդելներ և պարտադիր վճարներ'!$D$67:$D$71,IFERROR(MATCH($S13,'Մոդելներ և պարտադիր վճարներ'!$F$67:$F$71,1)+1,1))+INDEX('Մոդելներ և պարտադիր վճարներ'!$E$67:$E$71,IFERROR(MATCH($S13,'Մոդելներ և պարտադիր վճարներ'!$F$67:$F$71,1)+1,1)))*'Մոդելներ և պարտադիր վճարներ'!$C$59)</f>
        <v>207733.33333333331</v>
      </c>
      <c r="Y13" s="46">
        <f>IF(COUNTIFS('Մոդելներ և պարտադիր վճարներ'!$B$35:$B$37,$D13,'Մոդելներ և պարտադիր վճարներ'!$C$35:$C$37,"ԱՁ")&gt;0,$J13,($T13+INDEX('Մոդելներ և պարտադիր վճարներ'!$D$67:$D$71,IFERROR(MATCH($T13,'Մոդելներ և պարտադիր վճարներ'!$F$67:$F$71,1)+1,1))+INDEX('Մոդելներ և պարտադիր վճարներ'!$E$67:$E$71,IFERROR(MATCH($T13,'Մոդելներ և պարտադիր վճարներ'!$F$67:$F$71,1)+1,1)))*'Մոդելներ և պարտադիր վճարներ'!$C$59)</f>
        <v>237733.33333333331</v>
      </c>
      <c r="Z13" s="46">
        <f>IF(COUNTIFS('Մոդելներ և պարտադիր վճարներ'!$B$35:$B$37,$D13,'Մոդելներ և պարտադիր վճարներ'!$C$35:$C$37,"ԱՁ")&gt;0,$J13,($U13+INDEX('Մոդելներ և պարտադիր վճարներ'!$D$67:$D$71,IFERROR(MATCH($U13,'Մոդելներ և պարտադիր վճարներ'!$F$67:$F$71,1)+1,1))+INDEX('Մոդելներ և պարտադիր վճարներ'!$E$67:$E$71,IFERROR(MATCH($U13,'Մոդելներ և պարտադիր վճարներ'!$F$67:$F$71,1)+1,1)))*'Մոդելներ և պարտադիր վճարներ'!$C$59)</f>
        <v>257733.33333333331</v>
      </c>
      <c r="AA13" s="47">
        <f>IF(COUNTIFS('Մոդելներ և պարտադիր վճարներ'!$B$35:$B$37,$D13,'Մոդելներ և պարտադիր վճարներ'!$C$35:$C$37,"ԱՁ")&gt;0,$J13,($V13+INDEX('Մոդելներ և պարտադիր վճարներ'!$D$67:$D$71,IFERROR(MATCH($V13,'Մոդելներ և պարտադիր վճարներ'!$F$67:$F$71,1)+1,1))+INDEX('Մոդելներ և պարտադիր վճարներ'!$E$67:$E$71,IFERROR(MATCH($V13,'Մոդելներ և պարտադիր վճարներ'!$F$67:$F$71,1)+1,1)))*'Մոդելներ և պարտադիր վճարներ'!$C$59)</f>
        <v>277733.33333333331</v>
      </c>
      <c r="AB13" s="46">
        <f>IF(COUNTIFS('Մոդելներ և պարտադիր վճարներ'!$B$35:$B$37,$D13,'Մոդելներ և պարտադիր վճարներ'!$C$35:$C$37,"ԱՁ")&gt;0,$J13,($W13+INDEX('Մոդելներ և պարտադիր վճարներ'!$D$67:$D$71,IFERROR(MATCH($W13,'Մոդելներ և պարտադիր վճարներ'!$F$67:$F$71,1)+1,1))+INDEX('Մոդելներ և պարտադիր վճարներ'!$E$67:$E$71,IFERROR(MATCH($W13,'Մոդելներ և պարտադիր վճարներ'!$F$67:$F$71,1)+1,1)))*'Մոդելներ և պարտադիր վճարներ'!$C$59)</f>
        <v>307733.33333333331</v>
      </c>
      <c r="AC13" s="51" t="str">
        <f>IF(COUNTIFS('Մոդելներ և պարտադիր վճարներ'!$B$35:$B$37,$D13,'Մոդելներ և պարտադիր վճարներ'!$C$35:$C$37,"ԱՁ")&gt;0,"Աստիճաններ չեն կիրառվում — հաշիվ-ապրանքագիր",IF(COUNTIFS('Մոդելներ և պարտադիր վճարներ'!$B$35:$B$37,$D13,'Մոդելներ և պարտադիր վճարներ'!$C$35:$C$37,"D2D")&gt;0,"Աստիճաններ չեն կիրառվում — տես D2D բաժինը","Ֆիքս × (1 + աստիճանի %)"))</f>
        <v>Ֆիքս × (1 + աստիճանի %)</v>
      </c>
      <c r="AD13" s="52" t="s">
        <v>109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 ht="30" customHeight="1" x14ac:dyDescent="0.25">
      <c r="A14" s="16"/>
      <c r="B14" s="53" t="s">
        <v>100</v>
      </c>
      <c r="C14" s="53" t="s">
        <v>108</v>
      </c>
      <c r="D14" s="54" t="s">
        <v>111</v>
      </c>
      <c r="E14" s="55">
        <v>1</v>
      </c>
      <c r="F14" s="56">
        <v>1</v>
      </c>
      <c r="G14" s="56">
        <v>0</v>
      </c>
      <c r="H14" s="56">
        <f t="shared" si="0"/>
        <v>1</v>
      </c>
      <c r="I14" s="57" t="s">
        <v>75</v>
      </c>
      <c r="J14" s="45">
        <v>150000</v>
      </c>
      <c r="K14" s="46">
        <f>IF(COUNTIFS('Մոդելներ և պարտադիր վճարներ'!$B$35:$B$37,$D14,'Մոդելներ և պարտադիր վճարներ'!$C$35:$C$37,"ԱՁ")&gt;0,0,$O14*'Մոդելներ և պարտադիր վճարներ'!$C$57)</f>
        <v>41546.666666666664</v>
      </c>
      <c r="L14" s="46">
        <f>IF(COUNTIFS('Մոդելներ և պարտադիր վճարներ'!$B$35:$B$37,$D14,'Մոդելներ և պարտադիր վճարներ'!$C$35:$C$37,"ԱՁ")&gt;0,0,$O14*'Մոդելներ և պարտադիր վճարներ'!$C$58)</f>
        <v>10386.666666666666</v>
      </c>
      <c r="M14" s="46">
        <f>IF(COUNTIFS('Մոդելներ և պարտադիր վճարներ'!$B$35:$B$37,$D14,'Մոդելներ և պարտադիր վճարներ'!$C$35:$C$37,"ԱՁ")&gt;0,0,INDEX('Մոդելներ և պարտադիր վճարներ'!$D$67:$D$71,IFERROR(MATCH(IFERROR(INDEX('Մոդելներ և պարտադիր վճարներ'!$D$35:$D$37,MATCH($D14,'Մոդելներ և պարտադիր վճարներ'!$B$35:$B$37,0)),$J14*(1+'Մոդելներ և պարտադիր վճարներ'!$C$60)),'Մոդելներ և պարտադիր վճարներ'!$F$67:$F$71,1)+1,1)))</f>
        <v>1000</v>
      </c>
      <c r="N14" s="46">
        <f>IF(COUNTIFS('Մոդելներ և պարտադիր վճարներ'!$B$35:$B$37,$D14,'Մոդելներ և պարտադիր վճարներ'!$C$35:$C$37,"ԱՁ")&gt;0,0,INDEX('Մոդելներ և պարտադիր վճարներ'!$E$67:$E$71,IFERROR(MATCH(IFERROR(INDEX('Մոդելներ և պարտադիր վճարներ'!$D$35:$D$37,MATCH($D14,'Մոդելներ և պարտադիր վճարներ'!$B$35:$B$37,0)),$J14*(1+'Մոդելներ և պարտադիր վճարներ'!$C$60)),'Մոդելներ և պարտադիր վճարներ'!$F$67:$F$71,1)+1,1)))</f>
        <v>4800</v>
      </c>
      <c r="O14" s="47">
        <f>IF(COUNTIFS('Մոդելներ և պարտադիր վճարներ'!$B$35:$B$37,$D14,'Մոդելներ և պարտադիր վճարներ'!$C$35:$C$37,"ԱՁ")&gt;0,$J14,($J14+$M14+$N14)*'Մոդելներ և պարտադիր վճարներ'!$C$59)</f>
        <v>207733.33333333331</v>
      </c>
      <c r="P14" s="58">
        <f t="shared" si="1"/>
        <v>150000</v>
      </c>
      <c r="Q14" s="49">
        <f t="shared" si="2"/>
        <v>207733.33333333331</v>
      </c>
      <c r="R14" s="50" t="str">
        <f>IF(COUNTIFS('Մոդելներ և պարտադիր վճարներ'!$B$35:$B$37,$D14,'Մոդելներ և պարտադիր վճարներ'!$C$35:$C$37,"ԱՁ")&gt;0,"Գ. ԱՁ",IF(COUNTIFS('Մոդելներ և պարտադիր վճարներ'!$B$35:$B$37,$D14,'Մոդելներ և պարտադիր վճարներ'!$C$35:$C$37,"D2D")&gt;0,"Բ. D2D","Ա. Ֆիքս + KPI բոնուս"))</f>
        <v>Ա. Ֆիքս + KPI բոնուս</v>
      </c>
      <c r="S14" s="46">
        <f>IF(COUNTIFS('Մոդելներ և պարտադիր վճարներ'!$B$35:$B$37,$D14,'Մոդելներ և պարտադիր վճարներ'!$C$35:$C$37,"ԱՁ")&gt;0,$J14,IF(COUNTIFS('Մոդելներ և պարտադիր վճարներ'!$B$35:$B$37,$D14,'Մոդելներ և պարտադիր վճարներ'!$C$35:$C$37,"D2D")&gt;0,'Մոդելներ և պարտադիր վճարներ'!$G$26,$J14*(1+'Մոդելներ և պարտադիր վճարներ'!$D$7)))</f>
        <v>150000</v>
      </c>
      <c r="T14" s="46">
        <f>IF(COUNTIFS('Մոդելներ և պարտադիր վճարներ'!$B$35:$B$37,$D14,'Մոդելներ և պարտադիր վճարներ'!$C$35:$C$37,"ԱՁ")&gt;0,$J14,IF(COUNTIFS('Մոդելներ և պարտադիր վճարներ'!$B$35:$B$37,$D14,'Մոդելներ և պարտադիր վճարներ'!$C$35:$C$37,"D2D")&gt;0,'Մոդելներ և պարտադիր վճարներ'!$G$27,$J14*(1+'Մոդելներ և պարտադիր վճարներ'!$D$8)))</f>
        <v>172500</v>
      </c>
      <c r="U14" s="46">
        <f>IF(COUNTIFS('Մոդելներ և պարտադիր վճարներ'!$B$35:$B$37,$D14,'Մոդելներ և պարտադիր վճարներ'!$C$35:$C$37,"ԱՁ")&gt;0,$J14,IF(COUNTIFS('Մոդելներ և պարտադիր վճարներ'!$B$35:$B$37,$D14,'Մոդելներ և պարտադիր վճարներ'!$C$35:$C$37,"D2D")&gt;0,'Մոդելներ և պարտադիր վճարներ'!$G$28,$J14*(1+'Մոդելներ և պարտադիր վճարներ'!$D$9)))</f>
        <v>187500</v>
      </c>
      <c r="V14" s="47">
        <f>IF(COUNTIFS('Մոդելներ և պարտադիր վճարներ'!$B$35:$B$37,$D14,'Մոդելներ և պարտադիր վճարներ'!$C$35:$C$37,"ԱՁ")&gt;0,$J14,IF(COUNTIFS('Մոդելներ և պարտադիր վճարներ'!$B$35:$B$37,$D14,'Մոդելներ և պարտադիր վճարներ'!$C$35:$C$37,"D2D")&gt;0,'Մոդելներ և պարտադիր վճարներ'!$G$29,$J14*(1+'Մոդելներ և պարտադիր վճարներ'!$D$10)))</f>
        <v>202500</v>
      </c>
      <c r="W14" s="46">
        <f>IF(COUNTIFS('Մոդելներ և պարտադիր վճարներ'!$B$35:$B$37,$D14,'Մոդելներ և պարտադիր վճարներ'!$C$35:$C$37,"ԱՁ")&gt;0,$J14,IF(COUNTIFS('Մոդելներ և պարտադիր վճարներ'!$B$35:$B$37,$D14,'Մոդելներ և պարտադիր վճարներ'!$C$35:$C$37,"D2D")&gt;0,'Մոդելներ և պարտադիր վճարներ'!$G$30,$J14*(1+'Մոդելներ և պարտադիր վճարներ'!$D$11)))</f>
        <v>225000</v>
      </c>
      <c r="X14" s="46">
        <f>IF(COUNTIFS('Մոդելներ և պարտադիր վճարներ'!$B$35:$B$37,$D14,'Մոդելներ և պարտադիր վճարներ'!$C$35:$C$37,"ԱՁ")&gt;0,$J14,($S14+INDEX('Մոդելներ և պարտադիր վճարներ'!$D$67:$D$71,IFERROR(MATCH($S14,'Մոդելներ և պարտադիր վճարներ'!$F$67:$F$71,1)+1,1))+INDEX('Մոդելներ և պարտադիր վճարներ'!$E$67:$E$71,IFERROR(MATCH($S14,'Մոդելներ և պարտադիր վճարներ'!$F$67:$F$71,1)+1,1)))*'Մոդելներ և պարտադիր վճարներ'!$C$59)</f>
        <v>207733.33333333331</v>
      </c>
      <c r="Y14" s="46">
        <f>IF(COUNTIFS('Մոդելներ և պարտադիր վճարներ'!$B$35:$B$37,$D14,'Մոդելներ և պարտադիր վճարներ'!$C$35:$C$37,"ԱՁ")&gt;0,$J14,($T14+INDEX('Մոդելներ և պարտադիր վճարներ'!$D$67:$D$71,IFERROR(MATCH($T14,'Մոդելներ և պարտադիր վճարներ'!$F$67:$F$71,1)+1,1))+INDEX('Մոդելներ և պարտադիր վճարներ'!$E$67:$E$71,IFERROR(MATCH($T14,'Մոդելներ և պարտադիր վճարներ'!$F$67:$F$71,1)+1,1)))*'Մոդելներ և պարտադիր վճարներ'!$C$59)</f>
        <v>237733.33333333331</v>
      </c>
      <c r="Z14" s="46">
        <f>IF(COUNTIFS('Մոդելներ և պարտադիր վճարներ'!$B$35:$B$37,$D14,'Մոդելներ և պարտադիր վճարներ'!$C$35:$C$37,"ԱՁ")&gt;0,$J14,($U14+INDEX('Մոդելներ և պարտադիր վճարներ'!$D$67:$D$71,IFERROR(MATCH($U14,'Մոդելներ և պարտադիր վճարներ'!$F$67:$F$71,1)+1,1))+INDEX('Մոդելներ և պարտադիր վճարներ'!$E$67:$E$71,IFERROR(MATCH($U14,'Մոդելներ և պարտադիր վճարներ'!$F$67:$F$71,1)+1,1)))*'Մոդելներ և պարտադիր վճարներ'!$C$59)</f>
        <v>257733.33333333331</v>
      </c>
      <c r="AA14" s="47">
        <f>IF(COUNTIFS('Մոդելներ և պարտադիր վճարներ'!$B$35:$B$37,$D14,'Մոդելներ և պարտադիր վճարներ'!$C$35:$C$37,"ԱՁ")&gt;0,$J14,($V14+INDEX('Մոդելներ և պարտադիր վճարներ'!$D$67:$D$71,IFERROR(MATCH($V14,'Մոդելներ և պարտադիր վճարներ'!$F$67:$F$71,1)+1,1))+INDEX('Մոդելներ և պարտադիր վճարներ'!$E$67:$E$71,IFERROR(MATCH($V14,'Մոդելներ և պարտադիր վճարներ'!$F$67:$F$71,1)+1,1)))*'Մոդելներ և պարտադիր վճարներ'!$C$59)</f>
        <v>277733.33333333331</v>
      </c>
      <c r="AB14" s="46">
        <f>IF(COUNTIFS('Մոդելներ և պարտադիր վճարներ'!$B$35:$B$37,$D14,'Մոդելներ և պարտադիր վճարներ'!$C$35:$C$37,"ԱՁ")&gt;0,$J14,($W14+INDEX('Մոդելներ և պարտադիր վճարներ'!$D$67:$D$71,IFERROR(MATCH($W14,'Մոդելներ և պարտադիր վճարներ'!$F$67:$F$71,1)+1,1))+INDEX('Մոդելներ և պարտադիր վճարներ'!$E$67:$E$71,IFERROR(MATCH($W14,'Մոդելներ և պարտադիր վճարներ'!$F$67:$F$71,1)+1,1)))*'Մոդելներ և պարտադիր վճարներ'!$C$59)</f>
        <v>307733.33333333331</v>
      </c>
      <c r="AC14" s="51" t="str">
        <f>IF(COUNTIFS('Մոդելներ և պարտադիր վճարներ'!$B$35:$B$37,$D14,'Մոդելներ և պարտադիր վճարներ'!$C$35:$C$37,"ԱՁ")&gt;0,"Աստիճաններ չեն կիրառվում — հաշիվ-ապրանքագիր",IF(COUNTIFS('Մոդելներ և պարտադիր վճարներ'!$B$35:$B$37,$D14,'Մոդելներ և պարտադիր վճարներ'!$C$35:$C$37,"D2D")&gt;0,"Աստիճաններ չեն կիրառվում — տես D2D բաժինը","Ֆիքս × (1 + աստիճանի %)"))</f>
        <v>Ֆիքս × (1 + աստիճանի %)</v>
      </c>
      <c r="AD14" s="52" t="s">
        <v>109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ht="30" customHeight="1" x14ac:dyDescent="0.25">
      <c r="A15" s="16"/>
      <c r="B15" s="129" t="s">
        <v>112</v>
      </c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39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 ht="30" customHeight="1" x14ac:dyDescent="0.25">
      <c r="A16" s="16"/>
      <c r="B16" s="53" t="s">
        <v>100</v>
      </c>
      <c r="C16" s="53" t="s">
        <v>101</v>
      </c>
      <c r="D16" s="54" t="s">
        <v>113</v>
      </c>
      <c r="E16" s="55">
        <v>1</v>
      </c>
      <c r="F16" s="56">
        <v>6</v>
      </c>
      <c r="G16" s="56">
        <v>0</v>
      </c>
      <c r="H16" s="56">
        <f>$F16-$G16</f>
        <v>6</v>
      </c>
      <c r="I16" s="57" t="s">
        <v>74</v>
      </c>
      <c r="J16" s="45">
        <v>70000</v>
      </c>
      <c r="K16" s="46">
        <f>IF(COUNTIFS('Մոդելներ և պարտադիր վճարներ'!$B$35:$B$37,$D16,'Մոդելներ և պարտադիր վճարներ'!$C$35:$C$37,"ԱՁ")&gt;0,0,$O16*'Մոդելներ և պարտադիր վճարներ'!$C$57)</f>
        <v>20213.333333333332</v>
      </c>
      <c r="L16" s="46">
        <f>IF(COUNTIFS('Մոդելներ և պարտադիր վճարներ'!$B$35:$B$37,$D16,'Մոդելներ և պարտադիր վճարներ'!$C$35:$C$37,"ԱՁ")&gt;0,0,$O16*'Մոդելներ և պարտադիր վճարներ'!$C$58)</f>
        <v>5053.333333333333</v>
      </c>
      <c r="M16" s="46">
        <f>IF(COUNTIFS('Մոդելներ և պարտադիր վճարներ'!$B$35:$B$37,$D16,'Մոդելներ և պարտադիր վճարներ'!$C$35:$C$37,"ԱՁ")&gt;0,0,INDEX('Մոդելներ և պարտադիր վճարներ'!$D$67:$D$71,IFERROR(MATCH(IFERROR(INDEX('Մոդելներ և պարտադիր վճարներ'!$D$35:$D$37,MATCH($D16,'Մոդելներ և պարտադիր վճարներ'!$B$35:$B$37,0)),$J16*(1+'Մոդելներ և պարտադիր վճարներ'!$C$60)),'Մոդելներ և պարտադիր վճարներ'!$F$67:$F$71,1)+1,1)))</f>
        <v>1000</v>
      </c>
      <c r="N16" s="46">
        <f>IF(COUNTIFS('Մոդելներ և պարտադիր վճարներ'!$B$35:$B$37,$D16,'Մոդելներ և պարտադիր վճարներ'!$C$35:$C$37,"ԱՁ")&gt;0,0,INDEX('Մոդելներ և պարտադիր վճարներ'!$E$67:$E$71,IFERROR(MATCH(IFERROR(INDEX('Մոդելներ և պարտադիր վճարներ'!$D$35:$D$37,MATCH($D16,'Մոդելներ և պարտադիր վճարներ'!$B$35:$B$37,0)),$J16*(1+'Մոդելներ և պարտադիր վճարներ'!$C$60)),'Մոդելներ և պարտադիր վճարներ'!$F$67:$F$71,1)+1,1)))</f>
        <v>4800</v>
      </c>
      <c r="O16" s="47">
        <f>IF(COUNTIFS('Մոդելներ և պարտադիր վճարներ'!$B$35:$B$37,$D16,'Մոդելներ և պարտադիր վճարներ'!$C$35:$C$37,"ԱՁ")&gt;0,$J16,($J16+$M16+$N16)*'Մոդելներ և պարտադիր վճարներ'!$C$59)</f>
        <v>101066.66666666666</v>
      </c>
      <c r="P16" s="58">
        <f>F16*$J16</f>
        <v>420000</v>
      </c>
      <c r="Q16" s="49">
        <f>O16*F16</f>
        <v>606400</v>
      </c>
      <c r="R16" s="50" t="str">
        <f>IF(COUNTIFS('Մոդելներ և պարտադիր վճարներ'!$B$35:$B$37,$D16,'Մոդելներ և պարտադիր վճարներ'!$C$35:$C$37,"ԱՁ")&gt;0,"Գ. ԱՁ",IF(COUNTIFS('Մոդելներ և պարտադիր վճարներ'!$B$35:$B$37,$D16,'Մոդելներ և պարտադիր վճարներ'!$C$35:$C$37,"D2D")&gt;0,"Բ. D2D","Ա. Ֆիքս + KPI բոնուս"))</f>
        <v>Բ. D2D</v>
      </c>
      <c r="S16" s="46">
        <f>IF(COUNTIFS('Մոդելներ և պարտադիր վճարներ'!$B$35:$B$37,$D16,'Մոդելներ և պարտադիր վճարներ'!$C$35:$C$37,"ԱՁ")&gt;0,$J16,IF(COUNTIFS('Մոդելներ և պարտադիր վճարներ'!$B$35:$B$37,$D16,'Մոդելներ և պարտադիր վճարներ'!$C$35:$C$37,"D2D")&gt;0,'Մոդելներ և պարտադիր վճարներ'!$G$26,$J16*(1+'Մոդելներ և պարտադիր վճարներ'!$D$7)))</f>
        <v>63200</v>
      </c>
      <c r="T16" s="46">
        <f>IF(COUNTIFS('Մոդելներ և պարտադիր վճարներ'!$B$35:$B$37,$D16,'Մոդելներ և պարտադիր վճարներ'!$C$35:$C$37,"ԱՁ")&gt;0,$J16,IF(COUNTIFS('Մոդելներ և պարտադիր վճարներ'!$B$35:$B$37,$D16,'Մոդելներ և պարտադիր վճարներ'!$C$35:$C$37,"D2D")&gt;0,'Մոդելներ և պարտադիր վճարներ'!$G$27,$J16*(1+'Մոդելներ և պարտադիր վճարներ'!$D$8)))</f>
        <v>134000</v>
      </c>
      <c r="U16" s="46">
        <f>IF(COUNTIFS('Մոդելներ և պարտադիր վճարներ'!$B$35:$B$37,$D16,'Մոդելներ և պարտադիր վճարներ'!$C$35:$C$37,"ԱՁ")&gt;0,$J16,IF(COUNTIFS('Մոդելներ և պարտադիր վճարներ'!$B$35:$B$37,$D16,'Մոդելներ և պարտադիր վճարներ'!$C$35:$C$37,"D2D")&gt;0,'Մոդելներ և պարտադիր վճարներ'!$G$28,$J16*(1+'Մոդելներ և պարտադիր վճարներ'!$D$9)))</f>
        <v>142000</v>
      </c>
      <c r="V16" s="47">
        <f>IF(COUNTIFS('Մոդելներ և պարտադիր վճարներ'!$B$35:$B$37,$D16,'Մոդելներ և պարտադիր վճարներ'!$C$35:$C$37,"ԱՁ")&gt;0,$J16,IF(COUNTIFS('Մոդելներ և պարտադիր վճարներ'!$B$35:$B$37,$D16,'Մոդելներ և պարտադիր վճարներ'!$C$35:$C$37,"D2D")&gt;0,'Մոդելներ և պարտադիր վճարներ'!$G$29,$J16*(1+'Մոդելներ և պարտադիր վճարներ'!$D$10)))</f>
        <v>150000</v>
      </c>
      <c r="W16" s="46">
        <f>IF(COUNTIFS('Մոդելներ և պարտադիր վճարներ'!$B$35:$B$37,$D16,'Մոդելներ և պարտադիր վճարներ'!$C$35:$C$37,"ԱՁ")&gt;0,$J16,IF(COUNTIFS('Մոդելներ և պարտադիր վճարներ'!$B$35:$B$37,$D16,'Մոդելներ և պարտադիր վճարներ'!$C$35:$C$37,"D2D")&gt;0,'Մոդելներ և պարտադիր վճարներ'!$G$30,$J16*(1+'Մոդելներ և պարտադիր վճարներ'!$D$11)))</f>
        <v>166000</v>
      </c>
      <c r="X16" s="46">
        <f>IF(COUNTIFS('Մոդելներ և պարտադիր վճարներ'!$B$35:$B$37,$D16,'Մոդելներ և պարտադիր վճարներ'!$C$35:$C$37,"ԱՁ")&gt;0,$J16,($S16+INDEX('Մոդելներ և պարտադիր վճարներ'!$D$67:$D$71,IFERROR(MATCH($S16,'Մոդելներ և պարտադիր վճարներ'!$F$67:$F$71,1)+1,1))+INDEX('Մոդելներ և պարտադիր վճարներ'!$E$67:$E$71,IFERROR(MATCH($S16,'Մոդելներ և պարտադիր վճարներ'!$F$67:$F$71,1)+1,1)))*'Մոդելներ և պարտադիր վճարներ'!$C$59)</f>
        <v>85600</v>
      </c>
      <c r="Y16" s="46">
        <f>IF(COUNTIFS('Մոդելներ և պարտադիր վճարներ'!$B$35:$B$37,$D16,'Մոդելներ և պարտադիր վճարներ'!$C$35:$C$37,"ԱՁ")&gt;0,$J16,($T16+INDEX('Մոդելներ և պարտադիր վճարներ'!$D$67:$D$71,IFERROR(MATCH($T16,'Մոդելներ և պարտադիր վճարներ'!$F$67:$F$71,1)+1,1))+INDEX('Մոդելներ և պարտադիր վճարներ'!$E$67:$E$71,IFERROR(MATCH($T16,'Մոդելներ և պարտադիր վճարներ'!$F$67:$F$71,1)+1,1)))*'Մոդելներ և պարտադիր վճարներ'!$C$59)</f>
        <v>180000</v>
      </c>
      <c r="Z16" s="46">
        <f>IF(COUNTIFS('Մոդելներ և պարտադիր վճարներ'!$B$35:$B$37,$D16,'Մոդելներ և պարտադիր վճարներ'!$C$35:$C$37,"ԱՁ")&gt;0,$J16,($U16+INDEX('Մոդելներ և պարտադիր վճարներ'!$D$67:$D$71,IFERROR(MATCH($U16,'Մոդելներ և պարտադիր վճարներ'!$F$67:$F$71,1)+1,1))+INDEX('Մոդելներ և պարտադիր վճարներ'!$E$67:$E$71,IFERROR(MATCH($U16,'Մոդելներ և պարտադիր վճարներ'!$F$67:$F$71,1)+1,1)))*'Մոդելներ և պարտադիր վճարներ'!$C$59)</f>
        <v>190666.66666666666</v>
      </c>
      <c r="AA16" s="47">
        <f>IF(COUNTIFS('Մոդելներ և պարտադիր վճարներ'!$B$35:$B$37,$D16,'Մոդելներ և պարտադիր վճարներ'!$C$35:$C$37,"ԱՁ")&gt;0,$J16,($V16+INDEX('Մոդելներ և պարտադիր վճարներ'!$D$67:$D$71,IFERROR(MATCH($V16,'Մոդելներ և պարտադիր վճարներ'!$F$67:$F$71,1)+1,1))+INDEX('Մոդելներ և պարտադիր վճարներ'!$E$67:$E$71,IFERROR(MATCH($V16,'Մոդելներ և պարտադիր վճարներ'!$F$67:$F$71,1)+1,1)))*'Մոդելներ և պարտադիր վճարներ'!$C$59)</f>
        <v>207733.33333333331</v>
      </c>
      <c r="AB16" s="46">
        <f>IF(COUNTIFS('Մոդելներ և պարտադիր վճարներ'!$B$35:$B$37,$D16,'Մոդելներ և պարտադիր վճարներ'!$C$35:$C$37,"ԱՁ")&gt;0,$J16,($W16+INDEX('Մոդելներ և պարտադիր վճարներ'!$D$67:$D$71,IFERROR(MATCH($W16,'Մոդելներ և պարտադիր վճարներ'!$F$67:$F$71,1)+1,1))+INDEX('Մոդելներ և պարտադիր վճարներ'!$E$67:$E$71,IFERROR(MATCH($W16,'Մոդելներ և պարտադիր վճարներ'!$F$67:$F$71,1)+1,1)))*'Մոդելներ և պարտադիր վճարներ'!$C$59)</f>
        <v>229066.66666666666</v>
      </c>
      <c r="AC16" s="51" t="str">
        <f>IF(COUNTIFS('Մոդելներ և պարտադիր վճարներ'!$B$35:$B$37,$D16,'Մոդելներ և պարտադիր վճարներ'!$C$35:$C$37,"ԱՁ")&gt;0,"Աստիճաններ չեն կիրառվում — հաշիվ-ապրանքագիր",IF(COUNTIFS('Մոդելներ և պարտադիր վճարներ'!$B$35:$B$37,$D16,'Մոդելներ և պարտադիր վճարներ'!$C$35:$C$37,"D2D")&gt;0,"Աստիճաններ չեն կիրառվում — տես D2D բաժինը","Ֆիքս × (1 + աստիճանի %)"))</f>
        <v>Աստիճաններ չեն կիրառվում — տես D2D բաժինը</v>
      </c>
      <c r="AD16" s="52" t="s">
        <v>102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 ht="30" customHeight="1" x14ac:dyDescent="0.25">
      <c r="A17" s="16"/>
      <c r="B17" s="130" t="s">
        <v>114</v>
      </c>
      <c r="C17" s="130"/>
      <c r="D17" s="130"/>
      <c r="E17" s="59"/>
      <c r="F17" s="60">
        <f>F16</f>
        <v>6</v>
      </c>
      <c r="G17" s="60">
        <f>G16</f>
        <v>0</v>
      </c>
      <c r="H17" s="60">
        <f>H16</f>
        <v>6</v>
      </c>
      <c r="I17" s="60"/>
      <c r="J17" s="60">
        <f t="shared" ref="J17:Q17" si="3">J16</f>
        <v>70000</v>
      </c>
      <c r="K17" s="60">
        <f t="shared" si="3"/>
        <v>20213.333333333332</v>
      </c>
      <c r="L17" s="60">
        <f t="shared" si="3"/>
        <v>5053.333333333333</v>
      </c>
      <c r="M17" s="60">
        <f t="shared" si="3"/>
        <v>1000</v>
      </c>
      <c r="N17" s="60">
        <f t="shared" si="3"/>
        <v>4800</v>
      </c>
      <c r="O17" s="60">
        <f t="shared" si="3"/>
        <v>101066.66666666666</v>
      </c>
      <c r="P17" s="60">
        <f t="shared" si="3"/>
        <v>420000</v>
      </c>
      <c r="Q17" s="61">
        <f t="shared" si="3"/>
        <v>606400</v>
      </c>
      <c r="R17" s="62"/>
      <c r="S17" s="60">
        <f t="shared" ref="S17:AB17" si="4">S16*$F16</f>
        <v>379200</v>
      </c>
      <c r="T17" s="60">
        <f t="shared" si="4"/>
        <v>804000</v>
      </c>
      <c r="U17" s="60">
        <f t="shared" si="4"/>
        <v>852000</v>
      </c>
      <c r="V17" s="60">
        <f t="shared" si="4"/>
        <v>900000</v>
      </c>
      <c r="W17" s="60">
        <f t="shared" si="4"/>
        <v>996000</v>
      </c>
      <c r="X17" s="60">
        <f t="shared" si="4"/>
        <v>513600</v>
      </c>
      <c r="Y17" s="60">
        <f t="shared" si="4"/>
        <v>1080000</v>
      </c>
      <c r="Z17" s="60">
        <f t="shared" si="4"/>
        <v>1144000</v>
      </c>
      <c r="AA17" s="60">
        <f t="shared" si="4"/>
        <v>1246400</v>
      </c>
      <c r="AB17" s="60">
        <f t="shared" si="4"/>
        <v>1374400</v>
      </c>
      <c r="AC17" s="63"/>
      <c r="AD17" s="64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 ht="30" customHeight="1" x14ac:dyDescent="0.25">
      <c r="A18" s="16"/>
      <c r="B18" s="130" t="s">
        <v>115</v>
      </c>
      <c r="C18" s="130"/>
      <c r="D18" s="130"/>
      <c r="E18" s="59"/>
      <c r="F18" s="60">
        <f>SUM(F7:F14)</f>
        <v>13</v>
      </c>
      <c r="G18" s="60">
        <f>SUM(G7:G14)</f>
        <v>6</v>
      </c>
      <c r="H18" s="60">
        <f>SUM(H7:H14)</f>
        <v>7</v>
      </c>
      <c r="I18" s="60"/>
      <c r="J18" s="60">
        <f t="shared" ref="J18:Q18" si="5">SUM(J7:J14)</f>
        <v>1320000</v>
      </c>
      <c r="K18" s="60">
        <f t="shared" si="5"/>
        <v>365973.33333333337</v>
      </c>
      <c r="L18" s="60">
        <f t="shared" si="5"/>
        <v>91493.333333333343</v>
      </c>
      <c r="M18" s="60">
        <f t="shared" si="5"/>
        <v>8000</v>
      </c>
      <c r="N18" s="60">
        <f t="shared" si="5"/>
        <v>44400</v>
      </c>
      <c r="O18" s="60">
        <f t="shared" si="5"/>
        <v>1829866.6666666663</v>
      </c>
      <c r="P18" s="60">
        <f t="shared" si="5"/>
        <v>1960000</v>
      </c>
      <c r="Q18" s="61">
        <f t="shared" si="5"/>
        <v>2721866.666666667</v>
      </c>
      <c r="R18" s="62"/>
      <c r="S18" s="60">
        <f>SUMPRODUCT($S$7:$S$14,$F$7:$F$14)</f>
        <v>1960000</v>
      </c>
      <c r="T18" s="60">
        <f>SUMPRODUCT($T$7:$T$14,$F$7:$F$14)</f>
        <v>2254000</v>
      </c>
      <c r="U18" s="60">
        <f>SUMPRODUCT($U$7:$U$14,$F$7:$F$14)</f>
        <v>2450000</v>
      </c>
      <c r="V18" s="60">
        <f>SUMPRODUCT($V$7:$V$14,$F$7:$F$14)</f>
        <v>2646000</v>
      </c>
      <c r="W18" s="60">
        <f>SUMPRODUCT($W$7:$W$14,$F$7:$F$14)</f>
        <v>2940000</v>
      </c>
      <c r="X18" s="60">
        <f>SUMPRODUCT($X$7:$X$14,$F$7:$F$14)</f>
        <v>2681866.666666667</v>
      </c>
      <c r="Y18" s="60">
        <f>SUMPRODUCT($Y$7:$Y$14,$F$7:$F$14)</f>
        <v>3081866.666666667</v>
      </c>
      <c r="Z18" s="60">
        <f>SUMPRODUCT($Z$7:$Z$14,$F$7:$F$14)</f>
        <v>3362400.0000000005</v>
      </c>
      <c r="AA18" s="60">
        <f>SUMPRODUCT($AA$7:$AA$14,$F$7:$F$14)</f>
        <v>3623733.333333334</v>
      </c>
      <c r="AB18" s="60">
        <f>SUMPRODUCT($AB$7:$AB$14,$F$7:$F$14)</f>
        <v>4028533.3333333335</v>
      </c>
      <c r="AC18" s="63"/>
      <c r="AD18" s="64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 ht="30" customHeight="1" x14ac:dyDescent="0.25">
      <c r="A19" s="16"/>
      <c r="B19" s="130" t="s">
        <v>116</v>
      </c>
      <c r="C19" s="130"/>
      <c r="D19" s="130"/>
      <c r="E19" s="59"/>
      <c r="F19" s="60">
        <f>F18+F17</f>
        <v>19</v>
      </c>
      <c r="G19" s="60">
        <f>G18+G17</f>
        <v>6</v>
      </c>
      <c r="H19" s="60">
        <f>H18+H17</f>
        <v>13</v>
      </c>
      <c r="I19" s="60"/>
      <c r="J19" s="60">
        <f t="shared" ref="J19:Q19" si="6">J18+J17</f>
        <v>1390000</v>
      </c>
      <c r="K19" s="60">
        <f t="shared" si="6"/>
        <v>386186.66666666669</v>
      </c>
      <c r="L19" s="60">
        <f t="shared" si="6"/>
        <v>96546.666666666672</v>
      </c>
      <c r="M19" s="60">
        <f t="shared" si="6"/>
        <v>9000</v>
      </c>
      <c r="N19" s="60">
        <f t="shared" si="6"/>
        <v>49200</v>
      </c>
      <c r="O19" s="60">
        <f t="shared" si="6"/>
        <v>1930933.333333333</v>
      </c>
      <c r="P19" s="60">
        <f t="shared" si="6"/>
        <v>2380000</v>
      </c>
      <c r="Q19" s="61">
        <f t="shared" si="6"/>
        <v>3328266.666666667</v>
      </c>
      <c r="R19" s="62"/>
      <c r="S19" s="60">
        <f t="shared" ref="S19:AB19" si="7">S18+S17</f>
        <v>2339200</v>
      </c>
      <c r="T19" s="60">
        <f t="shared" si="7"/>
        <v>3058000</v>
      </c>
      <c r="U19" s="60">
        <f t="shared" si="7"/>
        <v>3302000</v>
      </c>
      <c r="V19" s="60">
        <f t="shared" si="7"/>
        <v>3546000</v>
      </c>
      <c r="W19" s="60">
        <f t="shared" si="7"/>
        <v>3936000</v>
      </c>
      <c r="X19" s="60">
        <f t="shared" si="7"/>
        <v>3195466.666666667</v>
      </c>
      <c r="Y19" s="60">
        <f t="shared" si="7"/>
        <v>4161866.666666667</v>
      </c>
      <c r="Z19" s="60">
        <f t="shared" si="7"/>
        <v>4506400</v>
      </c>
      <c r="AA19" s="60">
        <f t="shared" si="7"/>
        <v>4870133.333333334</v>
      </c>
      <c r="AB19" s="60">
        <f t="shared" si="7"/>
        <v>5402933.333333334</v>
      </c>
      <c r="AC19" s="63"/>
      <c r="AD19" s="64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 ht="6" customHeight="1" x14ac:dyDescent="0.25">
      <c r="A20" s="16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37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65"/>
      <c r="AD20" s="6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 ht="34.5" customHeight="1" x14ac:dyDescent="0.25">
      <c r="A21" s="16"/>
      <c r="B21" s="129" t="s">
        <v>117</v>
      </c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67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 ht="30" customHeight="1" x14ac:dyDescent="0.25">
      <c r="A22" s="16"/>
      <c r="B22" s="53" t="s">
        <v>59</v>
      </c>
      <c r="C22" s="53" t="s">
        <v>118</v>
      </c>
      <c r="D22" s="54" t="s">
        <v>119</v>
      </c>
      <c r="E22" s="55">
        <v>1</v>
      </c>
      <c r="F22" s="56">
        <v>1</v>
      </c>
      <c r="G22" s="56">
        <v>1</v>
      </c>
      <c r="H22" s="56">
        <f t="shared" ref="H22:H35" si="8">$F22-$G22</f>
        <v>0</v>
      </c>
      <c r="I22" s="57" t="s">
        <v>48</v>
      </c>
      <c r="J22" s="45">
        <v>200000</v>
      </c>
      <c r="K22" s="46">
        <f>IF(COUNTIFS('Մոդելներ և պարտադիր վճարներ'!$B$35:$B$37,$D22,'Մոդելներ և պարտադիր վճարներ'!$C$35:$C$37,"ԱՁ")&gt;0,0,$O22*'Մոդելներ և պարտադիր վճարներ'!$C$57)</f>
        <v>54880</v>
      </c>
      <c r="L22" s="46">
        <f>IF(COUNTIFS('Մոդելներ և պարտադիր վճարներ'!$B$35:$B$37,$D22,'Մոդելներ և պարտադիր վճարներ'!$C$35:$C$37,"ԱՁ")&gt;0,0,$O22*'Մոդելներ և պարտադիր վճարներ'!$C$58)</f>
        <v>13720</v>
      </c>
      <c r="M22" s="46">
        <f>IF(COUNTIFS('Մոդելներ և պարտադիր վճարներ'!$B$35:$B$37,$D22,'Մոդելներ և պարտադիր վճարներ'!$C$35:$C$37,"ԱՁ")&gt;0,0,INDEX('Մոդելներ և պարտադիր վճարներ'!$D$67:$D$71,IFERROR(MATCH(IFERROR(INDEX('Մոդելներ և պարտադիր վճարներ'!$D$35:$D$37,MATCH($D22,'Մոդելներ և պարտադիր վճարներ'!$B$35:$B$37,0)),$J22*(1+'Մոդելներ և պարտադիր վճարներ'!$C$60)),'Մոդելներ և պարտադիր վճարներ'!$F$67:$F$71,1)+1,1)))</f>
        <v>1000</v>
      </c>
      <c r="N22" s="46">
        <f>IF(COUNTIFS('Մոդելներ և պարտադիր վճարներ'!$B$35:$B$37,$D22,'Մոդելներ և պարտադիր վճարներ'!$C$35:$C$37,"ԱՁ")&gt;0,0,INDEX('Մոդելներ և պարտադիր վճարներ'!$E$67:$E$71,IFERROR(MATCH(IFERROR(INDEX('Մոդելներ և պարտադիր վճարներ'!$D$35:$D$37,MATCH($D22,'Մոդելներ և պարտադիր վճարներ'!$B$35:$B$37,0)),$J22*(1+'Մոդելներ և պարտադիր վճարներ'!$C$60)),'Մոդելներ և պարտադիր վճարներ'!$F$67:$F$71,1)+1,1)))</f>
        <v>4800</v>
      </c>
      <c r="O22" s="47">
        <f>IF(COUNTIFS('Մոդելներ և պարտադիր վճարներ'!$B$35:$B$37,$D22,'Մոդելներ և պարտադիր վճարներ'!$C$35:$C$37,"ԱՁ")&gt;0,$J22,($J22+$M22+$N22)*'Մոդելներ և պարտադիր վճարներ'!$C$59)</f>
        <v>274400</v>
      </c>
      <c r="P22" s="58">
        <f t="shared" ref="P22:P35" si="9">F22*$J22</f>
        <v>200000</v>
      </c>
      <c r="Q22" s="49">
        <f t="shared" ref="Q22:Q35" si="10">O22*F22</f>
        <v>274400</v>
      </c>
      <c r="R22" s="50" t="str">
        <f>IF(COUNTIFS('Մոդելներ և պարտադիր վճարներ'!$B$35:$B$37,$D22,'Մոդելներ և պարտադիր վճարներ'!$C$35:$C$37,"ԱՁ")&gt;0,"Գ. ԱՁ",IF(COUNTIFS('Մոդելներ և պարտադիր վճարներ'!$B$35:$B$37,$D22,'Մոդելներ և պարտադիր վճարներ'!$C$35:$C$37,"D2D")&gt;0,"Բ. D2D","Ա. Ֆիքս + KPI բոնուս"))</f>
        <v>Ա. Ֆիքս + KPI բոնուս</v>
      </c>
      <c r="S22" s="46">
        <f>IF(COUNTIFS('Մոդելներ և պարտադիր վճարներ'!$B$35:$B$37,$D22,'Մոդելներ և պարտադիր վճարներ'!$C$35:$C$37,"ԱՁ")&gt;0,$J22,IF(COUNTIFS('Մոդելներ և պարտադիր վճարներ'!$B$35:$B$37,$D22,'Մոդելներ և պարտադիր վճարներ'!$C$35:$C$37,"D2D")&gt;0,'Մոդելներ և պարտադիր վճարներ'!$G$26,$J22*(1+'Մոդելներ և պարտադիր վճարներ'!$D$7)))</f>
        <v>200000</v>
      </c>
      <c r="T22" s="46">
        <f>IF(COUNTIFS('Մոդելներ և պարտադիր վճարներ'!$B$35:$B$37,$D22,'Մոդելներ և պարտադիր վճարներ'!$C$35:$C$37,"ԱՁ")&gt;0,$J22,IF(COUNTIFS('Մոդելներ և պարտադիր վճարներ'!$B$35:$B$37,$D22,'Մոդելներ և պարտադիր վճարներ'!$C$35:$C$37,"D2D")&gt;0,'Մոդելներ և պարտադիր վճարներ'!$G$27,$J22*(1+'Մոդելներ և պարտադիր վճարներ'!$D$8)))</f>
        <v>229999.99999999997</v>
      </c>
      <c r="U22" s="46">
        <f>IF(COUNTIFS('Մոդելներ և պարտադիր վճարներ'!$B$35:$B$37,$D22,'Մոդելներ և պարտադիր վճարներ'!$C$35:$C$37,"ԱՁ")&gt;0,$J22,IF(COUNTIFS('Մոդելներ և պարտադիր վճարներ'!$B$35:$B$37,$D22,'Մոդելներ և պարտադիր վճարներ'!$C$35:$C$37,"D2D")&gt;0,'Մոդելներ և պարտադիր վճարներ'!$G$28,$J22*(1+'Մոդելներ և պարտադիր վճարներ'!$D$9)))</f>
        <v>250000</v>
      </c>
      <c r="V22" s="47">
        <f>IF(COUNTIFS('Մոդելներ և պարտադիր վճարներ'!$B$35:$B$37,$D22,'Մոդելներ և պարտադիր վճարներ'!$C$35:$C$37,"ԱՁ")&gt;0,$J22,IF(COUNTIFS('Մոդելներ և պարտադիր վճարներ'!$B$35:$B$37,$D22,'Մոդելներ և պարտադիր վճարներ'!$C$35:$C$37,"D2D")&gt;0,'Մոդելներ և պարտադիր վճարներ'!$G$29,$J22*(1+'Մոդելներ և պարտադիր վճարներ'!$D$10)))</f>
        <v>270000</v>
      </c>
      <c r="W22" s="46">
        <f>IF(COUNTIFS('Մոդելներ և պարտադիր վճարներ'!$B$35:$B$37,$D22,'Մոդելներ և պարտադիր վճարներ'!$C$35:$C$37,"ԱՁ")&gt;0,$J22,IF(COUNTIFS('Մոդելներ և պարտադիր վճարներ'!$B$35:$B$37,$D22,'Մոդելներ և պարտադիր վճարներ'!$C$35:$C$37,"D2D")&gt;0,'Մոդելներ և պարտադիր վճարներ'!$G$30,$J22*(1+'Մոդելներ և պարտադիր վճարներ'!$D$11)))</f>
        <v>300000</v>
      </c>
      <c r="X22" s="46">
        <f>IF(COUNTIFS('Մոդելներ և պարտադիր վճարներ'!$B$35:$B$37,$D22,'Մոդելներ և պարտադիր վճարներ'!$C$35:$C$37,"ԱՁ")&gt;0,$J22,($S22+INDEX('Մոդելներ և պարտադիր վճարներ'!$D$67:$D$71,IFERROR(MATCH($S22,'Մոդելներ և պարտադիր վճարներ'!$F$67:$F$71,1)+1,1))+INDEX('Մոդելներ և պարտադիր վճարներ'!$E$67:$E$71,IFERROR(MATCH($S22,'Մոդելներ և պարտադիր վճարներ'!$F$67:$F$71,1)+1,1)))*'Մոդելներ և պարտադիր վճարներ'!$C$59)</f>
        <v>274400</v>
      </c>
      <c r="Y22" s="46">
        <f>IF(COUNTIFS('Մոդելներ և պարտադիր վճարներ'!$B$35:$B$37,$D22,'Մոդելներ և պարտադիր վճարներ'!$C$35:$C$37,"ԱՁ")&gt;0,$J22,($T22+INDEX('Մոդելներ և պարտադիր վճարներ'!$D$67:$D$71,IFERROR(MATCH($T22,'Մոդելներ և պարտադիր վճարներ'!$F$67:$F$71,1)+1,1))+INDEX('Մոդելներ և պարտադիր վճարներ'!$E$67:$E$71,IFERROR(MATCH($T22,'Մոդելներ և պարտադիր վճարներ'!$F$67:$F$71,1)+1,1)))*'Մոդելներ և պարտադիր վճարներ'!$C$59)</f>
        <v>314399.99999999994</v>
      </c>
      <c r="Z22" s="46">
        <f>IF(COUNTIFS('Մոդելներ և պարտադիր վճարներ'!$B$35:$B$37,$D22,'Մոդելներ և պարտադիր վճարներ'!$C$35:$C$37,"ԱՁ")&gt;0,$J22,($U22+INDEX('Մոդելներ և պարտադիր վճարներ'!$D$67:$D$71,IFERROR(MATCH($U22,'Մոդելներ և պարտադիր վճարներ'!$F$67:$F$71,1)+1,1))+INDEX('Մոդելներ և պարտադիր վճարներ'!$E$67:$E$71,IFERROR(MATCH($U22,'Մոդելներ և պարտադիր վճարներ'!$F$67:$F$71,1)+1,1)))*'Մոդելներ և պարտադիր վճարներ'!$C$59)</f>
        <v>341066.66666666663</v>
      </c>
      <c r="AA22" s="47">
        <f>IF(COUNTIFS('Մոդելներ և պարտադիր վճարներ'!$B$35:$B$37,$D22,'Մոդելներ և պարտադիր վճարներ'!$C$35:$C$37,"ԱՁ")&gt;0,$J22,($V22+INDEX('Մոդելներ և պարտադիր վճարներ'!$D$67:$D$71,IFERROR(MATCH($V22,'Մոդելներ և պարտադիր վճարներ'!$F$67:$F$71,1)+1,1))+INDEX('Մոդելներ և պարտադիր վճարներ'!$E$67:$E$71,IFERROR(MATCH($V22,'Մոդելներ և պարտադիր վճարներ'!$F$67:$F$71,1)+1,1)))*'Մոդելներ և պարտադիր վճարներ'!$C$59)</f>
        <v>367733.33333333331</v>
      </c>
      <c r="AB22" s="46">
        <f>IF(COUNTIFS('Մոդելներ և պարտադիր վճարներ'!$B$35:$B$37,$D22,'Մոդելներ և պարտադիր վճարներ'!$C$35:$C$37,"ԱՁ")&gt;0,$J22,($W22+INDEX('Մոդելներ և պարտադիր վճարներ'!$D$67:$D$71,IFERROR(MATCH($W22,'Մոդելներ և պարտադիր վճարներ'!$F$67:$F$71,1)+1,1))+INDEX('Մոդելներ և պարտադիր վճարներ'!$E$67:$E$71,IFERROR(MATCH($W22,'Մոդելներ և պարտադիր վճարներ'!$F$67:$F$71,1)+1,1)))*'Մոդելներ և պարտադիր վճարներ'!$C$59)</f>
        <v>407733.33333333331</v>
      </c>
      <c r="AC22" s="51" t="str">
        <f>IF(COUNTIFS('Մոդելներ և պարտադիր վճարներ'!$B$35:$B$37,$D22,'Մոդելներ և պարտադիր վճարներ'!$C$35:$C$37,"ԱՁ")&gt;0,"Աստիճաններ չեն կիրառվում — հաշիվ-ապրանքագիր",IF(COUNTIFS('Մոդելներ և պարտադիր վճարներ'!$B$35:$B$37,$D22,'Մոդելներ և պարտադիր վճարներ'!$C$35:$C$37,"D2D")&gt;0,"Աստիճաններ չեն կիրառվում — տես D2D բաժինը","Ֆիքս × (1 + աստիճանի %)"))</f>
        <v>Ֆիքս × (1 + աստիճանի %)</v>
      </c>
      <c r="AD22" s="52" t="s">
        <v>120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 ht="30" customHeight="1" x14ac:dyDescent="0.25">
      <c r="A23" s="16"/>
      <c r="B23" s="53" t="s">
        <v>59</v>
      </c>
      <c r="C23" s="53" t="s">
        <v>118</v>
      </c>
      <c r="D23" s="54" t="s">
        <v>121</v>
      </c>
      <c r="E23" s="55">
        <v>1</v>
      </c>
      <c r="F23" s="56">
        <v>2</v>
      </c>
      <c r="G23" s="56">
        <v>1</v>
      </c>
      <c r="H23" s="56">
        <f t="shared" si="8"/>
        <v>1</v>
      </c>
      <c r="I23" s="57" t="s">
        <v>76</v>
      </c>
      <c r="J23" s="45">
        <v>150000</v>
      </c>
      <c r="K23" s="46">
        <f>IF(COUNTIFS('Մոդելներ և պարտադիր վճարներ'!$B$35:$B$37,$D23,'Մոդելներ և պարտադիր վճարներ'!$C$35:$C$37,"ԱՁ")&gt;0,0,$O23*'Մոդելներ և պարտադիր վճարներ'!$C$57)</f>
        <v>41546.666666666664</v>
      </c>
      <c r="L23" s="46">
        <f>IF(COUNTIFS('Մոդելներ և պարտադիր վճարներ'!$B$35:$B$37,$D23,'Մոդելներ և պարտադիր վճարներ'!$C$35:$C$37,"ԱՁ")&gt;0,0,$O23*'Մոդելներ և պարտադիր վճարներ'!$C$58)</f>
        <v>10386.666666666666</v>
      </c>
      <c r="M23" s="46">
        <f>IF(COUNTIFS('Մոդելներ և պարտադիր վճարներ'!$B$35:$B$37,$D23,'Մոդելներ և պարտադիր վճարներ'!$C$35:$C$37,"ԱՁ")&gt;0,0,INDEX('Մոդելներ և պարտադիր վճարներ'!$D$67:$D$71,IFERROR(MATCH(IFERROR(INDEX('Մոդելներ և պարտադիր վճարներ'!$D$35:$D$37,MATCH($D23,'Մոդելներ և պարտադիր վճարներ'!$B$35:$B$37,0)),$J23*(1+'Մոդելներ և պարտադիր վճարներ'!$C$60)),'Մոդելներ և պարտադիր վճարներ'!$F$67:$F$71,1)+1,1)))</f>
        <v>1000</v>
      </c>
      <c r="N23" s="46">
        <f>IF(COUNTIFS('Մոդելներ և պարտադիր վճարներ'!$B$35:$B$37,$D23,'Մոդելներ և պարտադիր վճարներ'!$C$35:$C$37,"ԱՁ")&gt;0,0,INDEX('Մոդելներ և պարտադիր վճարներ'!$E$67:$E$71,IFERROR(MATCH(IFERROR(INDEX('Մոդելներ և պարտադիր վճարներ'!$D$35:$D$37,MATCH($D23,'Մոդելներ և պարտադիր վճարներ'!$B$35:$B$37,0)),$J23*(1+'Մոդելներ և պարտադիր վճարներ'!$C$60)),'Մոդելներ և պարտադիր վճարներ'!$F$67:$F$71,1)+1,1)))</f>
        <v>4800</v>
      </c>
      <c r="O23" s="47">
        <f>IF(COUNTIFS('Մոդելներ և պարտադիր վճարներ'!$B$35:$B$37,$D23,'Մոդելներ և պարտադիր վճարներ'!$C$35:$C$37,"ԱՁ")&gt;0,$J23,($J23+$M23+$N23)*'Մոդելներ և պարտադիր վճարներ'!$C$59)</f>
        <v>207733.33333333331</v>
      </c>
      <c r="P23" s="58">
        <f t="shared" si="9"/>
        <v>300000</v>
      </c>
      <c r="Q23" s="49">
        <f t="shared" si="10"/>
        <v>415466.66666666663</v>
      </c>
      <c r="R23" s="50" t="str">
        <f>IF(COUNTIFS('Մոդելներ և պարտադիր վճարներ'!$B$35:$B$37,$D23,'Մոդելներ և պարտադիր վճարներ'!$C$35:$C$37,"ԱՁ")&gt;0,"Գ. ԱՁ",IF(COUNTIFS('Մոդելներ և պարտադիր վճարներ'!$B$35:$B$37,$D23,'Մոդելներ և պարտադիր վճարներ'!$C$35:$C$37,"D2D")&gt;0,"Բ. D2D","Ա. Ֆիքս + KPI բոնուս"))</f>
        <v>Ա. Ֆիքս + KPI բոնուս</v>
      </c>
      <c r="S23" s="46">
        <f>IF(COUNTIFS('Մոդելներ և պարտադիր վճարներ'!$B$35:$B$37,$D23,'Մոդելներ և պարտադիր վճարներ'!$C$35:$C$37,"ԱՁ")&gt;0,$J23,IF(COUNTIFS('Մոդելներ և պարտադիր վճարներ'!$B$35:$B$37,$D23,'Մոդելներ և պարտադիր վճարներ'!$C$35:$C$37,"D2D")&gt;0,'Մոդելներ և պարտադիր վճարներ'!$G$26,$J23*(1+'Մոդելներ և պարտադիր վճարներ'!$D$7)))</f>
        <v>150000</v>
      </c>
      <c r="T23" s="46">
        <f>IF(COUNTIFS('Մոդելներ և պարտադիր վճարներ'!$B$35:$B$37,$D23,'Մոդելներ և պարտադիր վճարներ'!$C$35:$C$37,"ԱՁ")&gt;0,$J23,IF(COUNTIFS('Մոդելներ և պարտադիր վճարներ'!$B$35:$B$37,$D23,'Մոդելներ և պարտադիր վճարներ'!$C$35:$C$37,"D2D")&gt;0,'Մոդելներ և պարտադիր վճարներ'!$G$27,$J23*(1+'Մոդելներ և պարտադիր վճարներ'!$D$8)))</f>
        <v>172500</v>
      </c>
      <c r="U23" s="46">
        <f>IF(COUNTIFS('Մոդելներ և պարտադիր վճարներ'!$B$35:$B$37,$D23,'Մոդելներ և պարտադիր վճարներ'!$C$35:$C$37,"ԱՁ")&gt;0,$J23,IF(COUNTIFS('Մոդելներ և պարտադիր վճարներ'!$B$35:$B$37,$D23,'Մոդելներ և պարտադիր վճարներ'!$C$35:$C$37,"D2D")&gt;0,'Մոդելներ և պարտադիր վճարներ'!$G$28,$J23*(1+'Մոդելներ և պարտադիր վճարներ'!$D$9)))</f>
        <v>187500</v>
      </c>
      <c r="V23" s="47">
        <f>IF(COUNTIFS('Մոդելներ և պարտադիր վճարներ'!$B$35:$B$37,$D23,'Մոդելներ և պարտադիր վճարներ'!$C$35:$C$37,"ԱՁ")&gt;0,$J23,IF(COUNTIFS('Մոդելներ և պարտադիր վճարներ'!$B$35:$B$37,$D23,'Մոդելներ և պարտադիր վճարներ'!$C$35:$C$37,"D2D")&gt;0,'Մոդելներ և պարտադիր վճարներ'!$G$29,$J23*(1+'Մոդելներ և պարտադիր վճարներ'!$D$10)))</f>
        <v>202500</v>
      </c>
      <c r="W23" s="46">
        <f>IF(COUNTIFS('Մոդելներ և պարտադիր վճարներ'!$B$35:$B$37,$D23,'Մոդելներ և պարտադիր վճարներ'!$C$35:$C$37,"ԱՁ")&gt;0,$J23,IF(COUNTIFS('Մոդելներ և պարտադիր վճարներ'!$B$35:$B$37,$D23,'Մոդելներ և պարտադիր վճարներ'!$C$35:$C$37,"D2D")&gt;0,'Մոդելներ և պարտադիր վճարներ'!$G$30,$J23*(1+'Մոդելներ և պարտադիր վճարներ'!$D$11)))</f>
        <v>225000</v>
      </c>
      <c r="X23" s="46">
        <f>IF(COUNTIFS('Մոդելներ և պարտադիր վճարներ'!$B$35:$B$37,$D23,'Մոդելներ և պարտադիր վճարներ'!$C$35:$C$37,"ԱՁ")&gt;0,$J23,($S23+INDEX('Մոդելներ և պարտադիր վճարներ'!$D$67:$D$71,IFERROR(MATCH($S23,'Մոդելներ և պարտադիր վճարներ'!$F$67:$F$71,1)+1,1))+INDEX('Մոդելներ և պարտադիր վճարներ'!$E$67:$E$71,IFERROR(MATCH($S23,'Մոդելներ և պարտադիր վճարներ'!$F$67:$F$71,1)+1,1)))*'Մոդելներ և պարտադիր վճարներ'!$C$59)</f>
        <v>207733.33333333331</v>
      </c>
      <c r="Y23" s="46">
        <f>IF(COUNTIFS('Մոդելներ և պարտադիր վճարներ'!$B$35:$B$37,$D23,'Մոդելներ և պարտադիր վճարներ'!$C$35:$C$37,"ԱՁ")&gt;0,$J23,($T23+INDEX('Մոդելներ և պարտադիր վճարներ'!$D$67:$D$71,IFERROR(MATCH($T23,'Մոդելներ և պարտադիր վճարներ'!$F$67:$F$71,1)+1,1))+INDEX('Մոդելներ և պարտադիր վճարներ'!$E$67:$E$71,IFERROR(MATCH($T23,'Մոդելներ և պարտադիր վճարներ'!$F$67:$F$71,1)+1,1)))*'Մոդելներ և պարտադիր վճարներ'!$C$59)</f>
        <v>237733.33333333331</v>
      </c>
      <c r="Z23" s="46">
        <f>IF(COUNTIFS('Մոդելներ և պարտադիր վճարներ'!$B$35:$B$37,$D23,'Մոդելներ և պարտադիր վճարներ'!$C$35:$C$37,"ԱՁ")&gt;0,$J23,($U23+INDEX('Մոդելներ և պարտադիր վճարներ'!$D$67:$D$71,IFERROR(MATCH($U23,'Մոդելներ և պարտադիր վճարներ'!$F$67:$F$71,1)+1,1))+INDEX('Մոդելներ և պարտադիր վճարներ'!$E$67:$E$71,IFERROR(MATCH($U23,'Մոդելներ և պարտադիր վճարներ'!$F$67:$F$71,1)+1,1)))*'Մոդելներ և պարտադիր վճարներ'!$C$59)</f>
        <v>257733.33333333331</v>
      </c>
      <c r="AA23" s="47">
        <f>IF(COUNTIFS('Մոդելներ և պարտադիր վճարներ'!$B$35:$B$37,$D23,'Մոդելներ և պարտադիր վճարներ'!$C$35:$C$37,"ԱՁ")&gt;0,$J23,($V23+INDEX('Մոդելներ և պարտադիր վճարներ'!$D$67:$D$71,IFERROR(MATCH($V23,'Մոդելներ և պարտադիր վճարներ'!$F$67:$F$71,1)+1,1))+INDEX('Մոդելներ և պարտադիր վճարներ'!$E$67:$E$71,IFERROR(MATCH($V23,'Մոդելներ և պարտադիր վճարներ'!$F$67:$F$71,1)+1,1)))*'Մոդելներ և պարտադիր վճարներ'!$C$59)</f>
        <v>277733.33333333331</v>
      </c>
      <c r="AB23" s="46">
        <f>IF(COUNTIFS('Մոդելներ և պարտադիր վճարներ'!$B$35:$B$37,$D23,'Մոդելներ և պարտադիր վճարներ'!$C$35:$C$37,"ԱՁ")&gt;0,$J23,($W23+INDEX('Մոդելներ և պարտադիր վճարներ'!$D$67:$D$71,IFERROR(MATCH($W23,'Մոդելներ և պարտադիր վճարներ'!$F$67:$F$71,1)+1,1))+INDEX('Մոդելներ և պարտադիր վճարներ'!$E$67:$E$71,IFERROR(MATCH($W23,'Մոդելներ և պարտադիր վճարներ'!$F$67:$F$71,1)+1,1)))*'Մոդելներ և պարտադիր վճարներ'!$C$59)</f>
        <v>307733.33333333331</v>
      </c>
      <c r="AC23" s="51" t="str">
        <f>IF(COUNTIFS('Մոդելներ և պարտադիր վճարներ'!$B$35:$B$37,$D23,'Մոդելներ և պարտադիր վճարներ'!$C$35:$C$37,"ԱՁ")&gt;0,"Աստիճաններ չեն կիրառվում — հաշիվ-ապրանքագիր",IF(COUNTIFS('Մոդելներ և պարտադիր վճարներ'!$B$35:$B$37,$D23,'Մոդելներ և պարտադիր վճարներ'!$C$35:$C$37,"D2D")&gt;0,"Աստիճաններ չեն կիրառվում — տես D2D բաժինը","Ֆիքս × (1 + աստիճանի %)"))</f>
        <v>Ֆիքս × (1 + աստիճանի %)</v>
      </c>
      <c r="AD23" s="52" t="s">
        <v>119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</row>
    <row r="24" spans="1:48" ht="30" customHeight="1" x14ac:dyDescent="0.25">
      <c r="A24" s="16"/>
      <c r="B24" s="53" t="s">
        <v>59</v>
      </c>
      <c r="C24" s="53" t="s">
        <v>122</v>
      </c>
      <c r="D24" s="54" t="s">
        <v>123</v>
      </c>
      <c r="E24" s="55">
        <v>1</v>
      </c>
      <c r="F24" s="56">
        <v>1</v>
      </c>
      <c r="G24" s="56">
        <v>0</v>
      </c>
      <c r="H24" s="56">
        <f t="shared" si="8"/>
        <v>1</v>
      </c>
      <c r="I24" s="57" t="s">
        <v>75</v>
      </c>
      <c r="J24" s="45">
        <v>200000</v>
      </c>
      <c r="K24" s="46">
        <f>IF(COUNTIFS('Մոդելներ և պարտադիր վճարներ'!$B$35:$B$37,$D24,'Մոդելներ և պարտադիր վճարներ'!$C$35:$C$37,"ԱՁ")&gt;0,0,$O24*'Մոդելներ և պարտադիր վճարներ'!$C$57)</f>
        <v>54880</v>
      </c>
      <c r="L24" s="46">
        <f>IF(COUNTIFS('Մոդելներ և պարտադիր վճարներ'!$B$35:$B$37,$D24,'Մոդելներ և պարտադիր վճարներ'!$C$35:$C$37,"ԱՁ")&gt;0,0,$O24*'Մոդելներ և պարտադիր վճարներ'!$C$58)</f>
        <v>13720</v>
      </c>
      <c r="M24" s="46">
        <f>IF(COUNTIFS('Մոդելներ և պարտադիր վճարներ'!$B$35:$B$37,$D24,'Մոդելներ և պարտադիր վճարներ'!$C$35:$C$37,"ԱՁ")&gt;0,0,INDEX('Մոդելներ և պարտադիր վճարներ'!$D$67:$D$71,IFERROR(MATCH(IFERROR(INDEX('Մոդելներ և պարտադիր վճարներ'!$D$35:$D$37,MATCH($D24,'Մոդելներ և պարտադիր վճարներ'!$B$35:$B$37,0)),$J24*(1+'Մոդելներ և պարտադիր վճարներ'!$C$60)),'Մոդելներ և պարտադիր վճարներ'!$F$67:$F$71,1)+1,1)))</f>
        <v>1000</v>
      </c>
      <c r="N24" s="46">
        <f>IF(COUNTIFS('Մոդելներ և պարտադիր վճարներ'!$B$35:$B$37,$D24,'Մոդելներ և պարտադիր վճարներ'!$C$35:$C$37,"ԱՁ")&gt;0,0,INDEX('Մոդելներ և պարտադիր վճարներ'!$E$67:$E$71,IFERROR(MATCH(IFERROR(INDEX('Մոդելներ և պարտադիր վճարներ'!$D$35:$D$37,MATCH($D24,'Մոդելներ և պարտադիր վճարներ'!$B$35:$B$37,0)),$J24*(1+'Մոդելներ և պարտադիր վճարներ'!$C$60)),'Մոդելներ և պարտադիր վճարներ'!$F$67:$F$71,1)+1,1)))</f>
        <v>4800</v>
      </c>
      <c r="O24" s="47">
        <f>IF(COUNTIFS('Մոդելներ և պարտադիր վճարներ'!$B$35:$B$37,$D24,'Մոդելներ և պարտադիր վճարներ'!$C$35:$C$37,"ԱՁ")&gt;0,$J24,($J24+$M24+$N24)*'Մոդելներ և պարտադիր վճարներ'!$C$59)</f>
        <v>274400</v>
      </c>
      <c r="P24" s="58">
        <f t="shared" si="9"/>
        <v>200000</v>
      </c>
      <c r="Q24" s="49">
        <f t="shared" si="10"/>
        <v>274400</v>
      </c>
      <c r="R24" s="50" t="str">
        <f>IF(COUNTIFS('Մոդելներ և պարտադիր վճարներ'!$B$35:$B$37,$D24,'Մոդելներ և պարտադիր վճարներ'!$C$35:$C$37,"ԱՁ")&gt;0,"Գ. ԱՁ",IF(COUNTIFS('Մոդելներ և պարտադիր վճարներ'!$B$35:$B$37,$D24,'Մոդելներ և պարտադիր վճարներ'!$C$35:$C$37,"D2D")&gt;0,"Բ. D2D","Ա. Ֆիքս + KPI բոնուս"))</f>
        <v>Ա. Ֆիքս + KPI բոնուս</v>
      </c>
      <c r="S24" s="46">
        <f>IF(COUNTIFS('Մոդելներ և պարտադիր վճարներ'!$B$35:$B$37,$D24,'Մոդելներ և պարտադիր վճարներ'!$C$35:$C$37,"ԱՁ")&gt;0,$J24,IF(COUNTIFS('Մոդելներ և պարտադիր վճարներ'!$B$35:$B$37,$D24,'Մոդելներ և պարտադիր վճարներ'!$C$35:$C$37,"D2D")&gt;0,'Մոդելներ և պարտադիր վճարներ'!$G$26,$J24*(1+'Մոդելներ և պարտադիր վճարներ'!$D$7)))</f>
        <v>200000</v>
      </c>
      <c r="T24" s="46">
        <f>IF(COUNTIFS('Մոդելներ և պարտադիր վճարներ'!$B$35:$B$37,$D24,'Մոդելներ և պարտադիր վճարներ'!$C$35:$C$37,"ԱՁ")&gt;0,$J24,IF(COUNTIFS('Մոդելներ և պարտադիր վճարներ'!$B$35:$B$37,$D24,'Մոդելներ և պարտադիր վճարներ'!$C$35:$C$37,"D2D")&gt;0,'Մոդելներ և պարտադիր վճարներ'!$G$27,$J24*(1+'Մոդելներ և պարտադիր վճարներ'!$D$8)))</f>
        <v>229999.99999999997</v>
      </c>
      <c r="U24" s="46">
        <f>IF(COUNTIFS('Մոդելներ և պարտադիր վճարներ'!$B$35:$B$37,$D24,'Մոդելներ և պարտադիր վճարներ'!$C$35:$C$37,"ԱՁ")&gt;0,$J24,IF(COUNTIFS('Մոդելներ և պարտադիր վճարներ'!$B$35:$B$37,$D24,'Մոդելներ և պարտադիր վճարներ'!$C$35:$C$37,"D2D")&gt;0,'Մոդելներ և պարտադիր վճարներ'!$G$28,$J24*(1+'Մոդելներ և պարտադիր վճարներ'!$D$9)))</f>
        <v>250000</v>
      </c>
      <c r="V24" s="47">
        <f>IF(COUNTIFS('Մոդելներ և պարտադիր վճարներ'!$B$35:$B$37,$D24,'Մոդելներ և պարտադիր վճարներ'!$C$35:$C$37,"ԱՁ")&gt;0,$J24,IF(COUNTIFS('Մոդելներ և պարտադիր վճարներ'!$B$35:$B$37,$D24,'Մոդելներ և պարտադիր վճարներ'!$C$35:$C$37,"D2D")&gt;0,'Մոդելներ և պարտադիր վճարներ'!$G$29,$J24*(1+'Մոդելներ և պարտադիր վճարներ'!$D$10)))</f>
        <v>270000</v>
      </c>
      <c r="W24" s="46">
        <f>IF(COUNTIFS('Մոդելներ և պարտադիր վճարներ'!$B$35:$B$37,$D24,'Մոդելներ և պարտադիր վճարներ'!$C$35:$C$37,"ԱՁ")&gt;0,$J24,IF(COUNTIFS('Մոդելներ և պարտադիր վճարներ'!$B$35:$B$37,$D24,'Մոդելներ և պարտադիր վճարներ'!$C$35:$C$37,"D2D")&gt;0,'Մոդելներ և պարտադիր վճարներ'!$G$30,$J24*(1+'Մոդելներ և պարտադիր վճարներ'!$D$11)))</f>
        <v>300000</v>
      </c>
      <c r="X24" s="46">
        <f>IF(COUNTIFS('Մոդելներ և պարտադիր վճարներ'!$B$35:$B$37,$D24,'Մոդելներ և պարտադիր վճարներ'!$C$35:$C$37,"ԱՁ")&gt;0,$J24,($S24+INDEX('Մոդելներ և պարտադիր վճարներ'!$D$67:$D$71,IFERROR(MATCH($S24,'Մոդելներ և պարտադիր վճարներ'!$F$67:$F$71,1)+1,1))+INDEX('Մոդելներ և պարտադիր վճարներ'!$E$67:$E$71,IFERROR(MATCH($S24,'Մոդելներ և պարտադիր վճարներ'!$F$67:$F$71,1)+1,1)))*'Մոդելներ և պարտադիր վճարներ'!$C$59)</f>
        <v>274400</v>
      </c>
      <c r="Y24" s="46">
        <f>IF(COUNTIFS('Մոդելներ և պարտադիր վճարներ'!$B$35:$B$37,$D24,'Մոդելներ և պարտադիր վճարներ'!$C$35:$C$37,"ԱՁ")&gt;0,$J24,($T24+INDEX('Մոդելներ և պարտադիր վճարներ'!$D$67:$D$71,IFERROR(MATCH($T24,'Մոդելներ և պարտադիր վճարներ'!$F$67:$F$71,1)+1,1))+INDEX('Մոդելներ և պարտադիր վճարներ'!$E$67:$E$71,IFERROR(MATCH($T24,'Մոդելներ և պարտադիր վճարներ'!$F$67:$F$71,1)+1,1)))*'Մոդելներ և պարտադիր վճարներ'!$C$59)</f>
        <v>314399.99999999994</v>
      </c>
      <c r="Z24" s="46">
        <f>IF(COUNTIFS('Մոդելներ և պարտադիր վճարներ'!$B$35:$B$37,$D24,'Մոդելներ և պարտադիր վճարներ'!$C$35:$C$37,"ԱՁ")&gt;0,$J24,($U24+INDEX('Մոդելներ և պարտադիր վճարներ'!$D$67:$D$71,IFERROR(MATCH($U24,'Մոդելներ և պարտադիր վճարներ'!$F$67:$F$71,1)+1,1))+INDEX('Մոդելներ և պարտադիր վճարներ'!$E$67:$E$71,IFERROR(MATCH($U24,'Մոդելներ և պարտադիր վճարներ'!$F$67:$F$71,1)+1,1)))*'Մոդելներ և պարտադիր վճարներ'!$C$59)</f>
        <v>341066.66666666663</v>
      </c>
      <c r="AA24" s="47">
        <f>IF(COUNTIFS('Մոդելներ և պարտադիր վճարներ'!$B$35:$B$37,$D24,'Մոդելներ և պարտադիր վճարներ'!$C$35:$C$37,"ԱՁ")&gt;0,$J24,($V24+INDEX('Մոդելներ և պարտադիր վճարներ'!$D$67:$D$71,IFERROR(MATCH($V24,'Մոդելներ և պարտադիր վճարներ'!$F$67:$F$71,1)+1,1))+INDEX('Մոդելներ և պարտադիր վճարներ'!$E$67:$E$71,IFERROR(MATCH($V24,'Մոդելներ և պարտադիր վճարներ'!$F$67:$F$71,1)+1,1)))*'Մոդելներ և պարտադիր վճարներ'!$C$59)</f>
        <v>367733.33333333331</v>
      </c>
      <c r="AB24" s="46">
        <f>IF(COUNTIFS('Մոդելներ և պարտադիր վճարներ'!$B$35:$B$37,$D24,'Մոդելներ և պարտադիր վճարներ'!$C$35:$C$37,"ԱՁ")&gt;0,$J24,($W24+INDEX('Մոդելներ և պարտադիր վճարներ'!$D$67:$D$71,IFERROR(MATCH($W24,'Մոդելներ և պարտադիր վճարներ'!$F$67:$F$71,1)+1,1))+INDEX('Մոդելներ և պարտադիր վճարներ'!$E$67:$E$71,IFERROR(MATCH($W24,'Մոդելներ և պարտադիր վճարներ'!$F$67:$F$71,1)+1,1)))*'Մոդելներ և պարտադիր վճարներ'!$C$59)</f>
        <v>407733.33333333331</v>
      </c>
      <c r="AC24" s="51" t="str">
        <f>IF(COUNTIFS('Մոդելներ և պարտադիր վճարներ'!$B$35:$B$37,$D24,'Մոդելներ և պարտադիր վճարներ'!$C$35:$C$37,"ԱՁ")&gt;0,"Աստիճաններ չեն կիրառվում — հաշիվ-ապրանքագիր",IF(COUNTIFS('Մոդելներ և պարտադիր վճարներ'!$B$35:$B$37,$D24,'Մոդելներ և պարտադիր վճարներ'!$C$35:$C$37,"D2D")&gt;0,"Աստիճաններ չեն կիրառվում — տես D2D բաժինը","Ֆիքս × (1 + աստիճանի %)"))</f>
        <v>Ֆիքս × (1 + աստիճանի %)</v>
      </c>
      <c r="AD24" s="52" t="s">
        <v>120</v>
      </c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 ht="30" customHeight="1" x14ac:dyDescent="0.25">
      <c r="A25" s="16"/>
      <c r="B25" s="53" t="s">
        <v>59</v>
      </c>
      <c r="C25" s="53" t="s">
        <v>122</v>
      </c>
      <c r="D25" s="54" t="s">
        <v>124</v>
      </c>
      <c r="E25" s="55">
        <v>1</v>
      </c>
      <c r="F25" s="56">
        <v>3</v>
      </c>
      <c r="G25" s="56">
        <v>0</v>
      </c>
      <c r="H25" s="56">
        <f t="shared" si="8"/>
        <v>3</v>
      </c>
      <c r="I25" s="57" t="s">
        <v>76</v>
      </c>
      <c r="J25" s="45">
        <v>170000</v>
      </c>
      <c r="K25" s="46">
        <f>IF(COUNTIFS('Մոդելներ և պարտադիր վճարներ'!$B$35:$B$37,$D25,'Մոդելներ և պարտադիր վճարներ'!$C$35:$C$37,"ԱՁ")&gt;0,0,$O25*'Մոդելներ և պարտադիր վճարներ'!$C$57)</f>
        <v>46880</v>
      </c>
      <c r="L25" s="46">
        <f>IF(COUNTIFS('Մոդելներ և պարտադիր վճարներ'!$B$35:$B$37,$D25,'Մոդելներ և պարտադիր վճարներ'!$C$35:$C$37,"ԱՁ")&gt;0,0,$O25*'Մոդելներ և պարտադիր վճարներ'!$C$58)</f>
        <v>11720</v>
      </c>
      <c r="M25" s="46">
        <f>IF(COUNTIFS('Մոդելներ և պարտադիր վճարներ'!$B$35:$B$37,$D25,'Մոդելներ և պարտադիր վճարներ'!$C$35:$C$37,"ԱՁ")&gt;0,0,INDEX('Մոդելներ և պարտադիր վճարներ'!$D$67:$D$71,IFERROR(MATCH(IFERROR(INDEX('Մոդելներ և պարտադիր վճարներ'!$D$35:$D$37,MATCH($D25,'Մոդելներ և պարտադիր վճարներ'!$B$35:$B$37,0)),$J25*(1+'Մոդելներ և պարտադիր վճարներ'!$C$60)),'Մոդելներ և պարտադիր վճարներ'!$F$67:$F$71,1)+1,1)))</f>
        <v>1000</v>
      </c>
      <c r="N25" s="46">
        <f>IF(COUNTIFS('Մոդելներ և պարտադիր վճարներ'!$B$35:$B$37,$D25,'Մոդելներ և պարտադիր վճարներ'!$C$35:$C$37,"ԱՁ")&gt;0,0,INDEX('Մոդելներ և պարտադիր վճարներ'!$E$67:$E$71,IFERROR(MATCH(IFERROR(INDEX('Մոդելներ և պարտադիր վճարներ'!$D$35:$D$37,MATCH($D25,'Մոդելներ և պարտադիր վճարներ'!$B$35:$B$37,0)),$J25*(1+'Մոդելներ և պարտադիր վճարներ'!$C$60)),'Մոդելներ և պարտադիր վճարներ'!$F$67:$F$71,1)+1,1)))</f>
        <v>4800</v>
      </c>
      <c r="O25" s="47">
        <f>IF(COUNTIFS('Մոդելներ և պարտադիր վճարներ'!$B$35:$B$37,$D25,'Մոդելներ և պարտադիր վճարներ'!$C$35:$C$37,"ԱՁ")&gt;0,$J25,($J25+$M25+$N25)*'Մոդելներ և պարտադիր վճարներ'!$C$59)</f>
        <v>234400</v>
      </c>
      <c r="P25" s="58">
        <f t="shared" si="9"/>
        <v>510000</v>
      </c>
      <c r="Q25" s="49">
        <f t="shared" si="10"/>
        <v>703200</v>
      </c>
      <c r="R25" s="50" t="str">
        <f>IF(COUNTIFS('Մոդելներ և պարտադիր վճարներ'!$B$35:$B$37,$D25,'Մոդելներ և պարտադիր վճարներ'!$C$35:$C$37,"ԱՁ")&gt;0,"Գ. ԱՁ",IF(COUNTIFS('Մոդելներ և պարտադիր վճարներ'!$B$35:$B$37,$D25,'Մոդելներ և պարտադիր վճարներ'!$C$35:$C$37,"D2D")&gt;0,"Բ. D2D","Ա. Ֆիքս + KPI բոնուս"))</f>
        <v>Ա. Ֆիքս + KPI բոնուս</v>
      </c>
      <c r="S25" s="46">
        <f>IF(COUNTIFS('Մոդելներ և պարտադիր վճարներ'!$B$35:$B$37,$D25,'Մոդելներ և պարտադիր վճարներ'!$C$35:$C$37,"ԱՁ")&gt;0,$J25,IF(COUNTIFS('Մոդելներ և պարտադիր վճարներ'!$B$35:$B$37,$D25,'Մոդելներ և պարտադիր վճարներ'!$C$35:$C$37,"D2D")&gt;0,'Մոդելներ և պարտադիր վճարներ'!$G$26,$J25*(1+'Մոդելներ և պարտադիր վճարներ'!$D$7)))</f>
        <v>170000</v>
      </c>
      <c r="T25" s="46">
        <f>IF(COUNTIFS('Մոդելներ և պարտադիր վճարներ'!$B$35:$B$37,$D25,'Մոդելներ և պարտադիր վճարներ'!$C$35:$C$37,"ԱՁ")&gt;0,$J25,IF(COUNTIFS('Մոդելներ և պարտադիր վճարներ'!$B$35:$B$37,$D25,'Մոդելներ և պարտադիր վճարներ'!$C$35:$C$37,"D2D")&gt;0,'Մոդելներ և պարտադիր վճարներ'!$G$27,$J25*(1+'Մոդելներ և պարտադիր վճարներ'!$D$8)))</f>
        <v>195499.99999999997</v>
      </c>
      <c r="U25" s="46">
        <f>IF(COUNTIFS('Մոդելներ և պարտադիր վճարներ'!$B$35:$B$37,$D25,'Մոդելներ և պարտադիր վճարներ'!$C$35:$C$37,"ԱՁ")&gt;0,$J25,IF(COUNTIFS('Մոդելներ և պարտադիր վճարներ'!$B$35:$B$37,$D25,'Մոդելներ և պարտադիր վճարներ'!$C$35:$C$37,"D2D")&gt;0,'Մոդելներ և պարտադիր վճարներ'!$G$28,$J25*(1+'Մոդելներ և պարտադիր վճարներ'!$D$9)))</f>
        <v>212500</v>
      </c>
      <c r="V25" s="47">
        <f>IF(COUNTIFS('Մոդելներ և պարտադիր վճարներ'!$B$35:$B$37,$D25,'Մոդելներ և պարտադիր վճարներ'!$C$35:$C$37,"ԱՁ")&gt;0,$J25,IF(COUNTIFS('Մոդելներ և պարտադիր վճարներ'!$B$35:$B$37,$D25,'Մոդելներ և պարտադիր վճարներ'!$C$35:$C$37,"D2D")&gt;0,'Մոդելներ և պարտադիր վճարներ'!$G$29,$J25*(1+'Մոդելներ և պարտադիր վճարներ'!$D$10)))</f>
        <v>229500.00000000003</v>
      </c>
      <c r="W25" s="46">
        <f>IF(COUNTIFS('Մոդելներ և պարտադիր վճարներ'!$B$35:$B$37,$D25,'Մոդելներ և պարտադիր վճարներ'!$C$35:$C$37,"ԱՁ")&gt;0,$J25,IF(COUNTIFS('Մոդելներ և պարտադիր վճարներ'!$B$35:$B$37,$D25,'Մոդելներ և պարտադիր վճարներ'!$C$35:$C$37,"D2D")&gt;0,'Մոդելներ և պարտադիր վճարներ'!$G$30,$J25*(1+'Մոդելներ և պարտադիր վճարներ'!$D$11)))</f>
        <v>255000</v>
      </c>
      <c r="X25" s="46">
        <f>IF(COUNTIFS('Մոդելներ և պարտադիր վճարներ'!$B$35:$B$37,$D25,'Մոդելներ և պարտադիր վճարներ'!$C$35:$C$37,"ԱՁ")&gt;0,$J25,($S25+INDEX('Մոդելներ և պարտադիր վճարներ'!$D$67:$D$71,IFERROR(MATCH($S25,'Մոդելներ և պարտադիր վճարներ'!$F$67:$F$71,1)+1,1))+INDEX('Մոդելներ և պարտադիր վճարներ'!$E$67:$E$71,IFERROR(MATCH($S25,'Մոդելներ և պարտադիր վճարներ'!$F$67:$F$71,1)+1,1)))*'Մոդելներ և պարտադիր վճարներ'!$C$59)</f>
        <v>234400</v>
      </c>
      <c r="Y25" s="46">
        <f>IF(COUNTIFS('Մոդելներ և պարտադիր վճարներ'!$B$35:$B$37,$D25,'Մոդելներ և պարտադիր վճարներ'!$C$35:$C$37,"ԱՁ")&gt;0,$J25,($T25+INDEX('Մոդելներ և պարտադիր վճարներ'!$D$67:$D$71,IFERROR(MATCH($T25,'Մոդելներ և պարտադիր վճարներ'!$F$67:$F$71,1)+1,1))+INDEX('Մոդելներ և պարտադիր վճարներ'!$E$67:$E$71,IFERROR(MATCH($T25,'Մոդելներ և պարտադիր վճարներ'!$F$67:$F$71,1)+1,1)))*'Մոդելներ և պարտադիր վճարներ'!$C$59)</f>
        <v>268399.99999999994</v>
      </c>
      <c r="Z25" s="46">
        <f>IF(COUNTIFS('Մոդելներ և պարտադիր վճարներ'!$B$35:$B$37,$D25,'Մոդելներ և պարտադիր վճարներ'!$C$35:$C$37,"ԱՁ")&gt;0,$J25,($U25+INDEX('Մոդելներ և պարտադիր վճարներ'!$D$67:$D$71,IFERROR(MATCH($U25,'Մոդելներ և պարտադիր վճարներ'!$F$67:$F$71,1)+1,1))+INDEX('Մոդելներ և պարտադիր վճարներ'!$E$67:$E$71,IFERROR(MATCH($U25,'Մոդելներ և պարտադիր վճարներ'!$F$67:$F$71,1)+1,1)))*'Մոդելներ և պարտադիր վճարներ'!$C$59)</f>
        <v>291066.66666666663</v>
      </c>
      <c r="AA25" s="47">
        <f>IF(COUNTIFS('Մոդելներ և պարտադիր վճարներ'!$B$35:$B$37,$D25,'Մոդելներ և պարտադիր վճարներ'!$C$35:$C$37,"ԱՁ")&gt;0,$J25,($V25+INDEX('Մոդելներ և պարտադիր վճարներ'!$D$67:$D$71,IFERROR(MATCH($V25,'Մոդելներ և պարտադիր վճարներ'!$F$67:$F$71,1)+1,1))+INDEX('Մոդելներ և պարտադիր վճարներ'!$E$67:$E$71,IFERROR(MATCH($V25,'Մոդելներ և պարտադիր վճարներ'!$F$67:$F$71,1)+1,1)))*'Մոդելներ և պարտադիր վճարներ'!$C$59)</f>
        <v>313733.33333333337</v>
      </c>
      <c r="AB25" s="46">
        <f>IF(COUNTIFS('Մոդելներ և պարտադիր վճարներ'!$B$35:$B$37,$D25,'Մոդելներ և պարտադիր վճարներ'!$C$35:$C$37,"ԱՁ")&gt;0,$J25,($W25+INDEX('Մոդելներ և պարտադիր վճարներ'!$D$67:$D$71,IFERROR(MATCH($W25,'Մոդելներ և պարտադիր վճարներ'!$F$67:$F$71,1)+1,1))+INDEX('Մոդելներ և պարտադիր վճարներ'!$E$67:$E$71,IFERROR(MATCH($W25,'Մոդելներ և պարտադիր վճարներ'!$F$67:$F$71,1)+1,1)))*'Մոդելներ և պարտադիր վճարներ'!$C$59)</f>
        <v>347733.33333333331</v>
      </c>
      <c r="AC25" s="51" t="str">
        <f>IF(COUNTIFS('Մոդելներ և պարտադիր վճարներ'!$B$35:$B$37,$D25,'Մոդելներ և պարտադիր վճարներ'!$C$35:$C$37,"ԱՁ")&gt;0,"Աստիճաններ չեն կիրառվում — հաշիվ-ապրանքագիր",IF(COUNTIFS('Մոդելներ և պարտադիր վճարներ'!$B$35:$B$37,$D25,'Մոդելներ և պարտադիր վճարներ'!$C$35:$C$37,"D2D")&gt;0,"Աստիճաններ չեն կիրառվում — տես D2D բաժինը","Ֆիքս × (1 + աստիճանի %)"))</f>
        <v>Ֆիքս × (1 + աստիճանի %)</v>
      </c>
      <c r="AD25" s="52" t="s">
        <v>123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 ht="30" customHeight="1" x14ac:dyDescent="0.25">
      <c r="A26" s="16"/>
      <c r="B26" s="53" t="s">
        <v>59</v>
      </c>
      <c r="C26" s="53" t="s">
        <v>122</v>
      </c>
      <c r="D26" s="54" t="s">
        <v>125</v>
      </c>
      <c r="E26" s="55">
        <v>1</v>
      </c>
      <c r="F26" s="56">
        <v>3</v>
      </c>
      <c r="G26" s="56">
        <v>2</v>
      </c>
      <c r="H26" s="56">
        <f t="shared" si="8"/>
        <v>1</v>
      </c>
      <c r="I26" s="57" t="s">
        <v>74</v>
      </c>
      <c r="J26" s="45">
        <v>150000</v>
      </c>
      <c r="K26" s="46">
        <f>IF(COUNTIFS('Մոդելներ և պարտադիր վճարներ'!$B$35:$B$37,$D26,'Մոդելներ և պարտադիր վճարներ'!$C$35:$C$37,"ԱՁ")&gt;0,0,$O26*'Մոդելներ և պարտադիր վճարներ'!$C$57)</f>
        <v>41546.666666666664</v>
      </c>
      <c r="L26" s="46">
        <f>IF(COUNTIFS('Մոդելներ և պարտադիր վճարներ'!$B$35:$B$37,$D26,'Մոդելներ և պարտադիր վճարներ'!$C$35:$C$37,"ԱՁ")&gt;0,0,$O26*'Մոդելներ և պարտադիր վճարներ'!$C$58)</f>
        <v>10386.666666666666</v>
      </c>
      <c r="M26" s="46">
        <f>IF(COUNTIFS('Մոդելներ և պարտադիր վճարներ'!$B$35:$B$37,$D26,'Մոդելներ և պարտադիր վճարներ'!$C$35:$C$37,"ԱՁ")&gt;0,0,INDEX('Մոդելներ և պարտադիր վճարներ'!$D$67:$D$71,IFERROR(MATCH(IFERROR(INDEX('Մոդելներ և պարտադիր վճարներ'!$D$35:$D$37,MATCH($D26,'Մոդելներ և պարտադիր վճարներ'!$B$35:$B$37,0)),$J26*(1+'Մոդելներ և պարտադիր վճարներ'!$C$60)),'Մոդելներ և պարտադիր վճարներ'!$F$67:$F$71,1)+1,1)))</f>
        <v>1000</v>
      </c>
      <c r="N26" s="46">
        <f>IF(COUNTIFS('Մոդելներ և պարտադիր վճարներ'!$B$35:$B$37,$D26,'Մոդելներ և պարտադիր վճարներ'!$C$35:$C$37,"ԱՁ")&gt;0,0,INDEX('Մոդելներ և պարտադիր վճարներ'!$E$67:$E$71,IFERROR(MATCH(IFERROR(INDEX('Մոդելներ և պարտադիր վճարներ'!$D$35:$D$37,MATCH($D26,'Մոդելներ և պարտադիր վճարներ'!$B$35:$B$37,0)),$J26*(1+'Մոդելներ և պարտադիր վճարներ'!$C$60)),'Մոդելներ և պարտադիր վճարներ'!$F$67:$F$71,1)+1,1)))</f>
        <v>4800</v>
      </c>
      <c r="O26" s="47">
        <f>IF(COUNTIFS('Մոդելներ և պարտադիր վճարներ'!$B$35:$B$37,$D26,'Մոդելներ և պարտադիր վճարներ'!$C$35:$C$37,"ԱՁ")&gt;0,$J26,($J26+$M26+$N26)*'Մոդելներ և պարտադիր վճարներ'!$C$59)</f>
        <v>207733.33333333331</v>
      </c>
      <c r="P26" s="58">
        <f t="shared" si="9"/>
        <v>450000</v>
      </c>
      <c r="Q26" s="49">
        <f t="shared" si="10"/>
        <v>623200</v>
      </c>
      <c r="R26" s="50" t="str">
        <f>IF(COUNTIFS('Մոդելներ և պարտադիր վճարներ'!$B$35:$B$37,$D26,'Մոդելներ և պարտադիր վճարներ'!$C$35:$C$37,"ԱՁ")&gt;0,"Գ. ԱՁ",IF(COUNTIFS('Մոդելներ և պարտադիր վճարներ'!$B$35:$B$37,$D26,'Մոդելներ և պարտադիր վճարներ'!$C$35:$C$37,"D2D")&gt;0,"Բ. D2D","Ա. Ֆիքս + KPI բոնուս"))</f>
        <v>Ա. Ֆիքս + KPI բոնուս</v>
      </c>
      <c r="S26" s="46">
        <f>IF(COUNTIFS('Մոդելներ և պարտադիր վճարներ'!$B$35:$B$37,$D26,'Մոդելներ և պարտադիր վճարներ'!$C$35:$C$37,"ԱՁ")&gt;0,$J26,IF(COUNTIFS('Մոդելներ և պարտադիր վճարներ'!$B$35:$B$37,$D26,'Մոդելներ և պարտադիր վճարներ'!$C$35:$C$37,"D2D")&gt;0,'Մոդելներ և պարտադիր վճարներ'!$G$26,$J26*(1+'Մոդելներ և պարտադիր վճարներ'!$D$7)))</f>
        <v>150000</v>
      </c>
      <c r="T26" s="46">
        <f>IF(COUNTIFS('Մոդելներ և պարտադիր վճարներ'!$B$35:$B$37,$D26,'Մոդելներ և պարտադիր վճարներ'!$C$35:$C$37,"ԱՁ")&gt;0,$J26,IF(COUNTIFS('Մոդելներ և պարտադիր վճարներ'!$B$35:$B$37,$D26,'Մոդելներ և պարտադիր վճարներ'!$C$35:$C$37,"D2D")&gt;0,'Մոդելներ և պարտադիր վճարներ'!$G$27,$J26*(1+'Մոդելներ և պարտադիր վճարներ'!$D$8)))</f>
        <v>172500</v>
      </c>
      <c r="U26" s="46">
        <f>IF(COUNTIFS('Մոդելներ և պարտադիր վճարներ'!$B$35:$B$37,$D26,'Մոդելներ և պարտադիր վճարներ'!$C$35:$C$37,"ԱՁ")&gt;0,$J26,IF(COUNTIFS('Մոդելներ և պարտադիր վճարներ'!$B$35:$B$37,$D26,'Մոդելներ և պարտադիր վճարներ'!$C$35:$C$37,"D2D")&gt;0,'Մոդելներ և պարտադիր վճարներ'!$G$28,$J26*(1+'Մոդելներ և պարտադիր վճարներ'!$D$9)))</f>
        <v>187500</v>
      </c>
      <c r="V26" s="47">
        <f>IF(COUNTIFS('Մոդելներ և պարտադիր վճարներ'!$B$35:$B$37,$D26,'Մոդելներ և պարտադիր վճարներ'!$C$35:$C$37,"ԱՁ")&gt;0,$J26,IF(COUNTIFS('Մոդելներ և պարտադիր վճարներ'!$B$35:$B$37,$D26,'Մոդելներ և պարտադիր վճարներ'!$C$35:$C$37,"D2D")&gt;0,'Մոդելներ և պարտադիր վճարներ'!$G$29,$J26*(1+'Մոդելներ և պարտադիր վճարներ'!$D$10)))</f>
        <v>202500</v>
      </c>
      <c r="W26" s="46">
        <f>IF(COUNTIFS('Մոդելներ և պարտադիր վճարներ'!$B$35:$B$37,$D26,'Մոդելներ և պարտադիր վճարներ'!$C$35:$C$37,"ԱՁ")&gt;0,$J26,IF(COUNTIFS('Մոդելներ և պարտադիր վճարներ'!$B$35:$B$37,$D26,'Մոդելներ և պարտադիր վճարներ'!$C$35:$C$37,"D2D")&gt;0,'Մոդելներ և պարտադիր վճարներ'!$G$30,$J26*(1+'Մոդելներ և պարտադիր վճարներ'!$D$11)))</f>
        <v>225000</v>
      </c>
      <c r="X26" s="46">
        <f>IF(COUNTIFS('Մոդելներ և պարտադիր վճարներ'!$B$35:$B$37,$D26,'Մոդելներ և պարտադիր վճարներ'!$C$35:$C$37,"ԱՁ")&gt;0,$J26,($S26+INDEX('Մոդելներ և պարտադիր վճարներ'!$D$67:$D$71,IFERROR(MATCH($S26,'Մոդելներ և պարտադիր վճարներ'!$F$67:$F$71,1)+1,1))+INDEX('Մոդելներ և պարտադիր վճարներ'!$E$67:$E$71,IFERROR(MATCH($S26,'Մոդելներ և պարտադիր վճարներ'!$F$67:$F$71,1)+1,1)))*'Մոդելներ և պարտադիր վճարներ'!$C$59)</f>
        <v>207733.33333333331</v>
      </c>
      <c r="Y26" s="46">
        <f>IF(COUNTIFS('Մոդելներ և պարտադիր վճարներ'!$B$35:$B$37,$D26,'Մոդելներ և պարտադիր վճարներ'!$C$35:$C$37,"ԱՁ")&gt;0,$J26,($T26+INDEX('Մոդելներ և պարտադիր վճարներ'!$D$67:$D$71,IFERROR(MATCH($T26,'Մոդելներ և պարտադիր վճարներ'!$F$67:$F$71,1)+1,1))+INDEX('Մոդելներ և պարտադիր վճարներ'!$E$67:$E$71,IFERROR(MATCH($T26,'Մոդելներ և պարտադիր վճարներ'!$F$67:$F$71,1)+1,1)))*'Մոդելներ և պարտադիր վճարներ'!$C$59)</f>
        <v>237733.33333333331</v>
      </c>
      <c r="Z26" s="46">
        <f>IF(COUNTIFS('Մոդելներ և պարտադիր վճարներ'!$B$35:$B$37,$D26,'Մոդելներ և պարտադիր վճարներ'!$C$35:$C$37,"ԱՁ")&gt;0,$J26,($U26+INDEX('Մոդելներ և պարտադիր վճարներ'!$D$67:$D$71,IFERROR(MATCH($U26,'Մոդելներ և պարտադիր վճարներ'!$F$67:$F$71,1)+1,1))+INDEX('Մոդելներ և պարտադիր վճարներ'!$E$67:$E$71,IFERROR(MATCH($U26,'Մոդելներ և պարտադիր վճարներ'!$F$67:$F$71,1)+1,1)))*'Մոդելներ և պարտադիր վճարներ'!$C$59)</f>
        <v>257733.33333333331</v>
      </c>
      <c r="AA26" s="47">
        <f>IF(COUNTIFS('Մոդելներ և պարտադիր վճարներ'!$B$35:$B$37,$D26,'Մոդելներ և պարտադիր վճարներ'!$C$35:$C$37,"ԱՁ")&gt;0,$J26,($V26+INDEX('Մոդելներ և պարտադիր վճարներ'!$D$67:$D$71,IFERROR(MATCH($V26,'Մոդելներ և պարտադիր վճարներ'!$F$67:$F$71,1)+1,1))+INDEX('Մոդելներ և պարտադիր վճարներ'!$E$67:$E$71,IFERROR(MATCH($V26,'Մոդելներ և պարտադիր վճարներ'!$F$67:$F$71,1)+1,1)))*'Մոդելներ և պարտադիր վճարներ'!$C$59)</f>
        <v>277733.33333333331</v>
      </c>
      <c r="AB26" s="46">
        <f>IF(COUNTIFS('Մոդելներ և պարտադիր վճարներ'!$B$35:$B$37,$D26,'Մոդելներ և պարտադիր վճարներ'!$C$35:$C$37,"ԱՁ")&gt;0,$J26,($W26+INDEX('Մոդելներ և պարտադիր վճարներ'!$D$67:$D$71,IFERROR(MATCH($W26,'Մոդելներ և պարտադիր վճարներ'!$F$67:$F$71,1)+1,1))+INDEX('Մոդելներ և պարտադիր վճարներ'!$E$67:$E$71,IFERROR(MATCH($W26,'Մոդելներ և պարտադիր վճարներ'!$F$67:$F$71,1)+1,1)))*'Մոդելներ և պարտադիր վճարներ'!$C$59)</f>
        <v>307733.33333333331</v>
      </c>
      <c r="AC26" s="51" t="str">
        <f>IF(COUNTIFS('Մոդելներ և պարտադիր վճարներ'!$B$35:$B$37,$D26,'Մոդելներ և պարտադիր վճարներ'!$C$35:$C$37,"ԱՁ")&gt;0,"Աստիճաններ չեն կիրառվում — հաշիվ-ապրանքագիր",IF(COUNTIFS('Մոդելներ և պարտադիր վճարներ'!$B$35:$B$37,$D26,'Մոդելներ և պարտադիր վճարներ'!$C$35:$C$37,"D2D")&gt;0,"Աստիճաններ չեն կիրառվում — տես D2D բաժինը","Ֆիքս × (1 + աստիճանի %)"))</f>
        <v>Ֆիքս × (1 + աստիճանի %)</v>
      </c>
      <c r="AD26" s="52" t="s">
        <v>123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 ht="30" customHeight="1" x14ac:dyDescent="0.25">
      <c r="A27" s="16"/>
      <c r="B27" s="53" t="s">
        <v>59</v>
      </c>
      <c r="C27" s="53" t="s">
        <v>126</v>
      </c>
      <c r="D27" s="54" t="s">
        <v>127</v>
      </c>
      <c r="E27" s="55">
        <v>1</v>
      </c>
      <c r="F27" s="56">
        <v>1</v>
      </c>
      <c r="G27" s="56">
        <v>1</v>
      </c>
      <c r="H27" s="56">
        <f t="shared" si="8"/>
        <v>0</v>
      </c>
      <c r="I27" s="57" t="s">
        <v>48</v>
      </c>
      <c r="J27" s="45">
        <v>250000</v>
      </c>
      <c r="K27" s="46">
        <f>IF(COUNTIFS('Մոդելներ և պարտադիր վճարներ'!$B$35:$B$37,$D27,'Մոդելներ և պարտադիր վճարներ'!$C$35:$C$37,"ԱՁ")&gt;0,0,$O27*'Մոդելներ և պարտադիր վճարներ'!$C$57)</f>
        <v>69813.333333333328</v>
      </c>
      <c r="L27" s="46">
        <f>IF(COUNTIFS('Մոդելներ և պարտադիր վճարներ'!$B$35:$B$37,$D27,'Մոդելներ և պարտադիր վճարներ'!$C$35:$C$37,"ԱՁ")&gt;0,0,$O27*'Մոդելներ և պարտադիր վճարներ'!$C$58)</f>
        <v>17453.333333333332</v>
      </c>
      <c r="M27" s="46">
        <f>IF(COUNTIFS('Մոդելներ և պարտադիր վճարներ'!$B$35:$B$37,$D27,'Մոդելներ և պարտադիր վճարներ'!$C$35:$C$37,"ԱՁ")&gt;0,0,INDEX('Մոդելներ և պարտադիր վճարներ'!$D$67:$D$71,IFERROR(MATCH(IFERROR(INDEX('Մոդելներ և պարտադիր վճարներ'!$D$35:$D$37,MATCH($D27,'Մոդելներ և պարտադիր վճարներ'!$B$35:$B$37,0)),$J27*(1+'Մոդելներ և պարտադիր վճարներ'!$C$60)),'Մոդելներ և պարտադիր վճարներ'!$F$67:$F$71,1)+1,1)))</f>
        <v>1000</v>
      </c>
      <c r="N27" s="46">
        <f>IF(COUNTIFS('Մոդելներ և պարտադիր վճարներ'!$B$35:$B$37,$D27,'Մոդելներ և պարտադիր վճարներ'!$C$35:$C$37,"ԱՁ")&gt;0,0,INDEX('Մոդելներ և պարտադիր վճարներ'!$E$67:$E$71,IFERROR(MATCH(IFERROR(INDEX('Մոդելներ և պարտադիր վճարներ'!$D$35:$D$37,MATCH($D27,'Մոդելներ և պարտադիր վճարներ'!$B$35:$B$37,0)),$J27*(1+'Մոդելներ և պարտադիր վճարներ'!$C$60)),'Մոդելներ և պարտադիր վճարներ'!$F$67:$F$71,1)+1,1)))</f>
        <v>10800</v>
      </c>
      <c r="O27" s="47">
        <f>IF(COUNTIFS('Մոդելներ և պարտադիր վճարներ'!$B$35:$B$37,$D27,'Մոդելներ և պարտադիր վճարներ'!$C$35:$C$37,"ԱՁ")&gt;0,$J27,($J27+$M27+$N27)*'Մոդելներ և պարտադիր վճարներ'!$C$59)</f>
        <v>349066.66666666663</v>
      </c>
      <c r="P27" s="58">
        <f t="shared" si="9"/>
        <v>250000</v>
      </c>
      <c r="Q27" s="49">
        <f t="shared" si="10"/>
        <v>349066.66666666663</v>
      </c>
      <c r="R27" s="50" t="str">
        <f>IF(COUNTIFS('Մոդելներ և պարտադիր վճարներ'!$B$35:$B$37,$D27,'Մոդելներ և պարտադիր վճարներ'!$C$35:$C$37,"ԱՁ")&gt;0,"Գ. ԱՁ",IF(COUNTIFS('Մոդելներ և պարտադիր վճարներ'!$B$35:$B$37,$D27,'Մոդելներ և պարտադիր վճարներ'!$C$35:$C$37,"D2D")&gt;0,"Բ. D2D","Ա. Ֆիքս + KPI բոնուս"))</f>
        <v>Ա. Ֆիքս + KPI բոնուս</v>
      </c>
      <c r="S27" s="46">
        <f>IF(COUNTIFS('Մոդելներ և պարտադիր վճարներ'!$B$35:$B$37,$D27,'Մոդելներ և պարտադիր վճարներ'!$C$35:$C$37,"ԱՁ")&gt;0,$J27,IF(COUNTIFS('Մոդելներ և պարտադիր վճարներ'!$B$35:$B$37,$D27,'Մոդելներ և պարտադիր վճարներ'!$C$35:$C$37,"D2D")&gt;0,'Մոդելներ և պարտադիր վճարներ'!$G$26,$J27*(1+'Մոդելներ և պարտադիր վճարներ'!$D$7)))</f>
        <v>250000</v>
      </c>
      <c r="T27" s="46">
        <f>IF(COUNTIFS('Մոդելներ և պարտադիր վճարներ'!$B$35:$B$37,$D27,'Մոդելներ և պարտադիր վճարներ'!$C$35:$C$37,"ԱՁ")&gt;0,$J27,IF(COUNTIFS('Մոդելներ և պարտադիր վճարներ'!$B$35:$B$37,$D27,'Մոդելներ և պարտադիր վճարներ'!$C$35:$C$37,"D2D")&gt;0,'Մոդելներ և պարտադիր վճարներ'!$G$27,$J27*(1+'Մոդելներ և պարտադիր վճարներ'!$D$8)))</f>
        <v>287500</v>
      </c>
      <c r="U27" s="46">
        <f>IF(COUNTIFS('Մոդելներ և պարտադիր վճարներ'!$B$35:$B$37,$D27,'Մոդելներ և պարտադիր վճարներ'!$C$35:$C$37,"ԱՁ")&gt;0,$J27,IF(COUNTIFS('Մոդելներ և պարտադիր վճարներ'!$B$35:$B$37,$D27,'Մոդելներ և պարտադիր վճարներ'!$C$35:$C$37,"D2D")&gt;0,'Մոդելներ և պարտադիր վճարներ'!$G$28,$J27*(1+'Մոդելներ և պարտադիր վճարներ'!$D$9)))</f>
        <v>312500</v>
      </c>
      <c r="V27" s="47">
        <f>IF(COUNTIFS('Մոդելներ և պարտադիր վճարներ'!$B$35:$B$37,$D27,'Մոդելներ և պարտադիր վճարներ'!$C$35:$C$37,"ԱՁ")&gt;0,$J27,IF(COUNTIFS('Մոդելներ և պարտադիր վճարներ'!$B$35:$B$37,$D27,'Մոդելներ և պարտադիր վճարներ'!$C$35:$C$37,"D2D")&gt;0,'Մոդելներ և պարտադիր վճարներ'!$G$29,$J27*(1+'Մոդելներ և պարտադիր վճարներ'!$D$10)))</f>
        <v>337500</v>
      </c>
      <c r="W27" s="46">
        <f>IF(COUNTIFS('Մոդելներ և պարտադիր վճարներ'!$B$35:$B$37,$D27,'Մոդելներ և պարտադիր վճարներ'!$C$35:$C$37,"ԱՁ")&gt;0,$J27,IF(COUNTIFS('Մոդելներ և պարտադիր վճարներ'!$B$35:$B$37,$D27,'Մոդելներ և պարտադիր վճարներ'!$C$35:$C$37,"D2D")&gt;0,'Մոդելներ և պարտադիր վճարներ'!$G$30,$J27*(1+'Մոդելներ և պարտադիր վճարներ'!$D$11)))</f>
        <v>375000</v>
      </c>
      <c r="X27" s="46">
        <f>IF(COUNTIFS('Մոդելներ և պարտադիր վճարներ'!$B$35:$B$37,$D27,'Մոդելներ և պարտադիր վճարներ'!$C$35:$C$37,"ԱՁ")&gt;0,$J27,($S27+INDEX('Մոդելներ և պարտադիր վճարներ'!$D$67:$D$71,IFERROR(MATCH($S27,'Մոդելներ և պարտադիր վճարներ'!$F$67:$F$71,1)+1,1))+INDEX('Մոդելներ և պարտադիր վճարներ'!$E$67:$E$71,IFERROR(MATCH($S27,'Մոդելներ և պարտադիր վճարներ'!$F$67:$F$71,1)+1,1)))*'Մոդելներ և պարտադիր վճարներ'!$C$59)</f>
        <v>341066.66666666663</v>
      </c>
      <c r="Y27" s="46">
        <f>IF(COUNTIFS('Մոդելներ և պարտադիր վճարներ'!$B$35:$B$37,$D27,'Մոդելներ և պարտադիր վճարներ'!$C$35:$C$37,"ԱՁ")&gt;0,$J27,($T27+INDEX('Մոդելներ և պարտադիր վճարներ'!$D$67:$D$71,IFERROR(MATCH($T27,'Մոդելներ և պարտադիր վճարներ'!$F$67:$F$71,1)+1,1))+INDEX('Մոդելներ և պարտադիր վճարներ'!$E$67:$E$71,IFERROR(MATCH($T27,'Մոդելներ և պարտադիր վճարներ'!$F$67:$F$71,1)+1,1)))*'Մոդելներ և պարտադիր վճարներ'!$C$59)</f>
        <v>391066.66666666663</v>
      </c>
      <c r="Z27" s="46">
        <f>IF(COUNTIFS('Մոդելներ և պարտադիր վճարներ'!$B$35:$B$37,$D27,'Մոդելներ և պարտադիր վճարներ'!$C$35:$C$37,"ԱՁ")&gt;0,$J27,($U27+INDEX('Մոդելներ և պարտադիր վճարներ'!$D$67:$D$71,IFERROR(MATCH($U27,'Մոդելներ և պարտադիր վճարներ'!$F$67:$F$71,1)+1,1))+INDEX('Մոդելներ և պարտադիր վճարներ'!$E$67:$E$71,IFERROR(MATCH($U27,'Մոդելներ և պարտադիր վճարներ'!$F$67:$F$71,1)+1,1)))*'Մոդելներ և պարտադիր վճարներ'!$C$59)</f>
        <v>424400</v>
      </c>
      <c r="AA27" s="47">
        <f>IF(COUNTIFS('Մոդելներ և պարտադիր վճարներ'!$B$35:$B$37,$D27,'Մոդելներ և պարտադիր վճարներ'!$C$35:$C$37,"ԱՁ")&gt;0,$J27,($V27+INDEX('Մոդելներ և պարտադիր վճարներ'!$D$67:$D$71,IFERROR(MATCH($V27,'Մոդելներ և պարտադիր վճարներ'!$F$67:$F$71,1)+1,1))+INDEX('Մոդելներ և պարտադիր վճարներ'!$E$67:$E$71,IFERROR(MATCH($V27,'Մոդելներ և պարտադիր վճարներ'!$F$67:$F$71,1)+1,1)))*'Մոդելներ և պարտադիր վճարներ'!$C$59)</f>
        <v>457733.33333333331</v>
      </c>
      <c r="AB27" s="46">
        <f>IF(COUNTIFS('Մոդելներ և պարտադիր վճարներ'!$B$35:$B$37,$D27,'Մոդելներ և պարտադիր վճարներ'!$C$35:$C$37,"ԱՁ")&gt;0,$J27,($W27+INDEX('Մոդելներ և պարտադիր վճարներ'!$D$67:$D$71,IFERROR(MATCH($W27,'Մոդելներ և պարտադիր վճարներ'!$F$67:$F$71,1)+1,1))+INDEX('Մոդելներ և պարտադիր վճարներ'!$E$67:$E$71,IFERROR(MATCH($W27,'Մոդելներ և պարտադիր վճարներ'!$F$67:$F$71,1)+1,1)))*'Մոդելներ և պարտադիր վճարներ'!$C$59)</f>
        <v>515733.33333333331</v>
      </c>
      <c r="AC27" s="51" t="str">
        <f>IF(COUNTIFS('Մոդելներ և պարտադիր վճարներ'!$B$35:$B$37,$D27,'Մոդելներ և պարտադիր վճարներ'!$C$35:$C$37,"ԱՁ")&gt;0,"Աստիճաններ չեն կիրառվում — հաշիվ-ապրանքագիր",IF(COUNTIFS('Մոդելներ և պարտադիր վճարներ'!$B$35:$B$37,$D27,'Մոդելներ և պարտադիր վճարներ'!$C$35:$C$37,"D2D")&gt;0,"Աստիճաններ չեն կիրառվում — տես D2D բաժինը","Ֆիքս × (1 + աստիճանի %)"))</f>
        <v>Ֆիքս × (1 + աստիճանի %)</v>
      </c>
      <c r="AD27" s="52" t="s">
        <v>120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 ht="30" customHeight="1" x14ac:dyDescent="0.25">
      <c r="A28" s="16"/>
      <c r="B28" s="53" t="s">
        <v>59</v>
      </c>
      <c r="C28" s="53" t="s">
        <v>126</v>
      </c>
      <c r="D28" s="54" t="s">
        <v>128</v>
      </c>
      <c r="E28" s="55">
        <v>1</v>
      </c>
      <c r="F28" s="56">
        <v>2</v>
      </c>
      <c r="G28" s="56">
        <v>1</v>
      </c>
      <c r="H28" s="56">
        <f t="shared" si="8"/>
        <v>1</v>
      </c>
      <c r="I28" s="57" t="s">
        <v>76</v>
      </c>
      <c r="J28" s="45">
        <v>220000</v>
      </c>
      <c r="K28" s="46">
        <f>IF(COUNTIFS('Մոդելներ և պարտադիր վճարներ'!$B$35:$B$37,$D28,'Մոդելներ և պարտադիր վճարներ'!$C$35:$C$37,"ԱՁ")&gt;0,0,$O28*'Մոդելներ և պարտադիր վճարներ'!$C$57)</f>
        <v>60213.333333333328</v>
      </c>
      <c r="L28" s="46">
        <f>IF(COUNTIFS('Մոդելներ և պարտադիր վճարներ'!$B$35:$B$37,$D28,'Մոդելներ և պարտադիր վճարներ'!$C$35:$C$37,"ԱՁ")&gt;0,0,$O28*'Մոդելներ և պարտադիր վճարներ'!$C$58)</f>
        <v>15053.333333333332</v>
      </c>
      <c r="M28" s="46">
        <f>IF(COUNTIFS('Մոդելներ և պարտադիր վճարներ'!$B$35:$B$37,$D28,'Մոդելներ և պարտադիր վճարներ'!$C$35:$C$37,"ԱՁ")&gt;0,0,INDEX('Մոդելներ և պարտադիր վճարներ'!$D$67:$D$71,IFERROR(MATCH(IFERROR(INDEX('Մոդելներ և պարտադիր վճարներ'!$D$35:$D$37,MATCH($D28,'Մոդելներ և պարտադիր վճարներ'!$B$35:$B$37,0)),$J28*(1+'Մոդելներ և պարտադիր վճարներ'!$C$60)),'Մոդելներ և պարտադիր վճարներ'!$F$67:$F$71,1)+1,1)))</f>
        <v>1000</v>
      </c>
      <c r="N28" s="46">
        <f>IF(COUNTIFS('Մոդելներ և պարտադիր վճարներ'!$B$35:$B$37,$D28,'Մոդելներ և պարտադիր վճարներ'!$C$35:$C$37,"ԱՁ")&gt;0,0,INDEX('Մոդելներ և պարտադիր վճարներ'!$E$67:$E$71,IFERROR(MATCH(IFERROR(INDEX('Մոդելներ և պարտադիր վճարներ'!$D$35:$D$37,MATCH($D28,'Մոդելներ և պարտադիր վճարներ'!$B$35:$B$37,0)),$J28*(1+'Մոդելներ և պարտադիր վճարներ'!$C$60)),'Մոդելներ և պարտադիր վճարներ'!$F$67:$F$71,1)+1,1)))</f>
        <v>4800</v>
      </c>
      <c r="O28" s="47">
        <f>IF(COUNTIFS('Մոդելներ և պարտադիր վճարներ'!$B$35:$B$37,$D28,'Մոդելներ և պարտադիր վճարներ'!$C$35:$C$37,"ԱՁ")&gt;0,$J28,($J28+$M28+$N28)*'Մոդելներ և պարտադիր վճարներ'!$C$59)</f>
        <v>301066.66666666663</v>
      </c>
      <c r="P28" s="58">
        <f t="shared" si="9"/>
        <v>440000</v>
      </c>
      <c r="Q28" s="49">
        <f t="shared" si="10"/>
        <v>602133.33333333326</v>
      </c>
      <c r="R28" s="50" t="str">
        <f>IF(COUNTIFS('Մոդելներ և պարտադիր վճարներ'!$B$35:$B$37,$D28,'Մոդելներ և պարտադիր վճարներ'!$C$35:$C$37,"ԱՁ")&gt;0,"Գ. ԱՁ",IF(COUNTIFS('Մոդելներ և պարտադիր վճարներ'!$B$35:$B$37,$D28,'Մոդելներ և պարտադիր վճարներ'!$C$35:$C$37,"D2D")&gt;0,"Բ. D2D","Ա. Ֆիքս + KPI բոնուս"))</f>
        <v>Ա. Ֆիքս + KPI բոնուս</v>
      </c>
      <c r="S28" s="46">
        <f>IF(COUNTIFS('Մոդելներ և պարտադիր վճարներ'!$B$35:$B$37,$D28,'Մոդելներ և պարտադիր վճարներ'!$C$35:$C$37,"ԱՁ")&gt;0,$J28,IF(COUNTIFS('Մոդելներ և պարտադիր վճարներ'!$B$35:$B$37,$D28,'Մոդելներ և պարտադիր վճարներ'!$C$35:$C$37,"D2D")&gt;0,'Մոդելներ և պարտադիր վճարներ'!$G$26,$J28*(1+'Մոդելներ և պարտադիր վճարներ'!$D$7)))</f>
        <v>220000</v>
      </c>
      <c r="T28" s="46">
        <f>IF(COUNTIFS('Մոդելներ և պարտադիր վճարներ'!$B$35:$B$37,$D28,'Մոդելներ և պարտադիր վճարներ'!$C$35:$C$37,"ԱՁ")&gt;0,$J28,IF(COUNTIFS('Մոդելներ և պարտադիր վճարներ'!$B$35:$B$37,$D28,'Մոդելներ և պարտադիր վճարներ'!$C$35:$C$37,"D2D")&gt;0,'Մոդելներ և պարտադիր վճարներ'!$G$27,$J28*(1+'Մոդելներ և պարտադիր վճարներ'!$D$8)))</f>
        <v>252999.99999999997</v>
      </c>
      <c r="U28" s="46">
        <f>IF(COUNTIFS('Մոդելներ և պարտադիր վճարներ'!$B$35:$B$37,$D28,'Մոդելներ և պարտադիր վճարներ'!$C$35:$C$37,"ԱՁ")&gt;0,$J28,IF(COUNTIFS('Մոդելներ և պարտադիր վճարներ'!$B$35:$B$37,$D28,'Մոդելներ և պարտադիր վճարներ'!$C$35:$C$37,"D2D")&gt;0,'Մոդելներ և պարտադիր վճարներ'!$G$28,$J28*(1+'Մոդելներ և պարտադիր վճարներ'!$D$9)))</f>
        <v>275000</v>
      </c>
      <c r="V28" s="47">
        <f>IF(COUNTIFS('Մոդելներ և պարտադիր վճարներ'!$B$35:$B$37,$D28,'Մոդելներ և պարտադիր վճարներ'!$C$35:$C$37,"ԱՁ")&gt;0,$J28,IF(COUNTIFS('Մոդելներ և պարտադիր վճարներ'!$B$35:$B$37,$D28,'Մոդելներ և պարտադիր վճարներ'!$C$35:$C$37,"D2D")&gt;0,'Մոդելներ և պարտադիր վճարներ'!$G$29,$J28*(1+'Մոդելներ և պարտադիր վճարներ'!$D$10)))</f>
        <v>297000</v>
      </c>
      <c r="W28" s="46">
        <f>IF(COUNTIFS('Մոդելներ և պարտադիր վճարներ'!$B$35:$B$37,$D28,'Մոդելներ և պարտադիր վճարներ'!$C$35:$C$37,"ԱՁ")&gt;0,$J28,IF(COUNTIFS('Մոդելներ և պարտադիր վճարներ'!$B$35:$B$37,$D28,'Մոդելներ և պարտադիր վճարներ'!$C$35:$C$37,"D2D")&gt;0,'Մոդելներ և պարտադիր վճարներ'!$G$30,$J28*(1+'Մոդելներ և պարտադիր վճարներ'!$D$11)))</f>
        <v>330000</v>
      </c>
      <c r="X28" s="46">
        <f>IF(COUNTIFS('Մոդելներ և պարտադիր վճարներ'!$B$35:$B$37,$D28,'Մոդելներ և պարտադիր վճարներ'!$C$35:$C$37,"ԱՁ")&gt;0,$J28,($S28+INDEX('Մոդելներ և պարտադիր վճարներ'!$D$67:$D$71,IFERROR(MATCH($S28,'Մոդելներ և պարտադիր վճարներ'!$F$67:$F$71,1)+1,1))+INDEX('Մոդելներ և պարտադիր վճարներ'!$E$67:$E$71,IFERROR(MATCH($S28,'Մոդելներ և պարտադիր վճարներ'!$F$67:$F$71,1)+1,1)))*'Մոդելներ և պարտադիր վճարներ'!$C$59)</f>
        <v>301066.66666666663</v>
      </c>
      <c r="Y28" s="46">
        <f>IF(COUNTIFS('Մոդելներ և պարտադիր վճարներ'!$B$35:$B$37,$D28,'Մոդելներ և պարտադիր վճարներ'!$C$35:$C$37,"ԱՁ")&gt;0,$J28,($T28+INDEX('Մոդելներ և պարտադիր վճարներ'!$D$67:$D$71,IFERROR(MATCH($T28,'Մոդելներ և պարտադիր վճարներ'!$F$67:$F$71,1)+1,1))+INDEX('Մոդելներ և պարտադիր վճարներ'!$E$67:$E$71,IFERROR(MATCH($T28,'Մոդելներ և պարտադիր վճարներ'!$F$67:$F$71,1)+1,1)))*'Մոդելներ և պարտադիր վճարներ'!$C$59)</f>
        <v>345066.66666666663</v>
      </c>
      <c r="Z28" s="46">
        <f>IF(COUNTIFS('Մոդելներ և պարտադիր վճարներ'!$B$35:$B$37,$D28,'Մոդելներ և պարտադիր վճարներ'!$C$35:$C$37,"ԱՁ")&gt;0,$J28,($U28+INDEX('Մոդելներ և պարտադիր վճարներ'!$D$67:$D$71,IFERROR(MATCH($U28,'Մոդելներ և պարտադիր վճարներ'!$F$67:$F$71,1)+1,1))+INDEX('Մոդելներ և պարտադիր վճարներ'!$E$67:$E$71,IFERROR(MATCH($U28,'Մոդելներ և պարտադիր վճարներ'!$F$67:$F$71,1)+1,1)))*'Մոդելներ և պարտադիր վճարներ'!$C$59)</f>
        <v>374400</v>
      </c>
      <c r="AA28" s="47">
        <f>IF(COUNTIFS('Մոդելներ և պարտադիր վճարներ'!$B$35:$B$37,$D28,'Մոդելներ և պարտադիր վճարներ'!$C$35:$C$37,"ԱՁ")&gt;0,$J28,($V28+INDEX('Մոդելներ և պարտադիր վճարներ'!$D$67:$D$71,IFERROR(MATCH($V28,'Մոդելներ և պարտադիր վճարներ'!$F$67:$F$71,1)+1,1))+INDEX('Մոդելներ և պարտադիր վճարներ'!$E$67:$E$71,IFERROR(MATCH($V28,'Մոդելներ և պարտադիր վճարներ'!$F$67:$F$71,1)+1,1)))*'Մոդելներ և պարտադիր վճարներ'!$C$59)</f>
        <v>403733.33333333331</v>
      </c>
      <c r="AB28" s="46">
        <f>IF(COUNTIFS('Մոդելներ և պարտադիր վճարներ'!$B$35:$B$37,$D28,'Մոդելներ և պարտադիր վճարներ'!$C$35:$C$37,"ԱՁ")&gt;0,$J28,($W28+INDEX('Մոդելներ և պարտադիր վճարներ'!$D$67:$D$71,IFERROR(MATCH($W28,'Մոդելներ և պարտադիր վճարներ'!$F$67:$F$71,1)+1,1))+INDEX('Մոդելներ և պարտադիր վճարներ'!$E$67:$E$71,IFERROR(MATCH($W28,'Մոդելներ և պարտադիր վճարներ'!$F$67:$F$71,1)+1,1)))*'Մոդելներ և պարտադիր վճարներ'!$C$59)</f>
        <v>447733.33333333331</v>
      </c>
      <c r="AC28" s="51" t="str">
        <f>IF(COUNTIFS('Մոդելներ և պարտադիր վճարներ'!$B$35:$B$37,$D28,'Մոդելներ և պարտադիր վճարներ'!$C$35:$C$37,"ԱՁ")&gt;0,"Աստիճաններ չեն կիրառվում — հաշիվ-ապրանքագիր",IF(COUNTIFS('Մոդելներ և պարտադիր վճարներ'!$B$35:$B$37,$D28,'Մոդելներ և պարտադիր վճարներ'!$C$35:$C$37,"D2D")&gt;0,"Աստիճաններ չեն կիրառվում — տես D2D բաժինը","Ֆիքս × (1 + աստիճանի %)"))</f>
        <v>Ֆիքս × (1 + աստիճանի %)</v>
      </c>
      <c r="AD28" s="52" t="s">
        <v>127</v>
      </c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spans="1:48" ht="30" customHeight="1" x14ac:dyDescent="0.25">
      <c r="A29" s="16"/>
      <c r="B29" s="53" t="s">
        <v>59</v>
      </c>
      <c r="C29" s="53" t="s">
        <v>126</v>
      </c>
      <c r="D29" s="54" t="s">
        <v>129</v>
      </c>
      <c r="E29" s="55">
        <v>1</v>
      </c>
      <c r="F29" s="56">
        <v>2</v>
      </c>
      <c r="G29" s="56">
        <v>2</v>
      </c>
      <c r="H29" s="56">
        <f t="shared" si="8"/>
        <v>0</v>
      </c>
      <c r="I29" s="57" t="s">
        <v>48</v>
      </c>
      <c r="J29" s="45">
        <v>200000</v>
      </c>
      <c r="K29" s="46">
        <f>IF(COUNTIFS('Մոդելներ և պարտադիր վճարներ'!$B$35:$B$37,$D29,'Մոդելներ և պարտադիր վճարներ'!$C$35:$C$37,"ԱՁ")&gt;0,0,$O29*'Մոդելներ և պարտադիր վճարներ'!$C$57)</f>
        <v>54880</v>
      </c>
      <c r="L29" s="46">
        <f>IF(COUNTIFS('Մոդելներ և պարտադիր վճարներ'!$B$35:$B$37,$D29,'Մոդելներ և պարտադիր վճարներ'!$C$35:$C$37,"ԱՁ")&gt;0,0,$O29*'Մոդելներ և պարտադիր վճարներ'!$C$58)</f>
        <v>13720</v>
      </c>
      <c r="M29" s="46">
        <f>IF(COUNTIFS('Մոդելներ և պարտադիր վճարներ'!$B$35:$B$37,$D29,'Մոդելներ և պարտադիր վճարներ'!$C$35:$C$37,"ԱՁ")&gt;0,0,INDEX('Մոդելներ և պարտադիր վճարներ'!$D$67:$D$71,IFERROR(MATCH(IFERROR(INDEX('Մոդելներ և պարտադիր վճարներ'!$D$35:$D$37,MATCH($D29,'Մոդելներ և պարտադիր վճարներ'!$B$35:$B$37,0)),$J29*(1+'Մոդելներ և պարտադիր վճարներ'!$C$60)),'Մոդելներ և պարտադիր վճարներ'!$F$67:$F$71,1)+1,1)))</f>
        <v>1000</v>
      </c>
      <c r="N29" s="46">
        <f>IF(COUNTIFS('Մոդելներ և պարտադիր վճարներ'!$B$35:$B$37,$D29,'Մոդելներ և պարտադիր վճարներ'!$C$35:$C$37,"ԱՁ")&gt;0,0,INDEX('Մոդելներ և պարտադիր վճարներ'!$E$67:$E$71,IFERROR(MATCH(IFERROR(INDEX('Մոդելներ և պարտադիր վճարներ'!$D$35:$D$37,MATCH($D29,'Մոդելներ և պարտադիր վճարներ'!$B$35:$B$37,0)),$J29*(1+'Մոդելներ և պարտադիր վճարներ'!$C$60)),'Մոդելներ և պարտադիր վճարներ'!$F$67:$F$71,1)+1,1)))</f>
        <v>4800</v>
      </c>
      <c r="O29" s="47">
        <f>IF(COUNTIFS('Մոդելներ և պարտադիր վճարներ'!$B$35:$B$37,$D29,'Մոդելներ և պարտադիր վճարներ'!$C$35:$C$37,"ԱՁ")&gt;0,$J29,($J29+$M29+$N29)*'Մոդելներ և պարտադիր վճարներ'!$C$59)</f>
        <v>274400</v>
      </c>
      <c r="P29" s="58">
        <f t="shared" si="9"/>
        <v>400000</v>
      </c>
      <c r="Q29" s="49">
        <f t="shared" si="10"/>
        <v>548800</v>
      </c>
      <c r="R29" s="50" t="str">
        <f>IF(COUNTIFS('Մոդելներ և պարտադիր վճարներ'!$B$35:$B$37,$D29,'Մոդելներ և պարտադիր վճարներ'!$C$35:$C$37,"ԱՁ")&gt;0,"Գ. ԱՁ",IF(COUNTIFS('Մոդելներ և պարտադիր վճարներ'!$B$35:$B$37,$D29,'Մոդելներ և պարտադիր վճարներ'!$C$35:$C$37,"D2D")&gt;0,"Բ. D2D","Ա. Ֆիքս + KPI բոնուս"))</f>
        <v>Ա. Ֆիքս + KPI բոնուս</v>
      </c>
      <c r="S29" s="46">
        <f>IF(COUNTIFS('Մոդելներ և պարտադիր վճարներ'!$B$35:$B$37,$D29,'Մոդելներ և պարտադիր վճարներ'!$C$35:$C$37,"ԱՁ")&gt;0,$J29,IF(COUNTIFS('Մոդելներ և պարտադիր վճարներ'!$B$35:$B$37,$D29,'Մոդելներ և պարտադիր վճարներ'!$C$35:$C$37,"D2D")&gt;0,'Մոդելներ և պարտադիր վճարներ'!$G$26,$J29*(1+'Մոդելներ և պարտադիր վճարներ'!$D$7)))</f>
        <v>200000</v>
      </c>
      <c r="T29" s="46">
        <f>IF(COUNTIFS('Մոդելներ և պարտադիր վճարներ'!$B$35:$B$37,$D29,'Մոդելներ և պարտադիր վճարներ'!$C$35:$C$37,"ԱՁ")&gt;0,$J29,IF(COUNTIFS('Մոդելներ և պարտադիր վճարներ'!$B$35:$B$37,$D29,'Մոդելներ և պարտադիր վճարներ'!$C$35:$C$37,"D2D")&gt;0,'Մոդելներ և պարտադիր վճարներ'!$G$27,$J29*(1+'Մոդելներ և պարտադիր վճարներ'!$D$8)))</f>
        <v>229999.99999999997</v>
      </c>
      <c r="U29" s="46">
        <f>IF(COUNTIFS('Մոդելներ և պարտադիր վճարներ'!$B$35:$B$37,$D29,'Մոդելներ և պարտադիր վճարներ'!$C$35:$C$37,"ԱՁ")&gt;0,$J29,IF(COUNTIFS('Մոդելներ և պարտադիր վճարներ'!$B$35:$B$37,$D29,'Մոդելներ և պարտադիր վճարներ'!$C$35:$C$37,"D2D")&gt;0,'Մոդելներ և պարտադիր վճարներ'!$G$28,$J29*(1+'Մոդելներ և պարտադիր վճարներ'!$D$9)))</f>
        <v>250000</v>
      </c>
      <c r="V29" s="47">
        <f>IF(COUNTIFS('Մոդելներ և պարտադիր վճարներ'!$B$35:$B$37,$D29,'Մոդելներ և պարտադիր վճարներ'!$C$35:$C$37,"ԱՁ")&gt;0,$J29,IF(COUNTIFS('Մոդելներ և պարտադիր վճարներ'!$B$35:$B$37,$D29,'Մոդելներ և պարտադիր վճարներ'!$C$35:$C$37,"D2D")&gt;0,'Մոդելներ և պարտադիր վճարներ'!$G$29,$J29*(1+'Մոդելներ և պարտադիր վճարներ'!$D$10)))</f>
        <v>270000</v>
      </c>
      <c r="W29" s="46">
        <f>IF(COUNTIFS('Մոդելներ և պարտադիր վճարներ'!$B$35:$B$37,$D29,'Մոդելներ և պարտադիր վճարներ'!$C$35:$C$37,"ԱՁ")&gt;0,$J29,IF(COUNTIFS('Մոդելներ և պարտադիր վճարներ'!$B$35:$B$37,$D29,'Մոդելներ և պարտադիր վճարներ'!$C$35:$C$37,"D2D")&gt;0,'Մոդելներ և պարտադիր վճարներ'!$G$30,$J29*(1+'Մոդելներ և պարտադիր վճարներ'!$D$11)))</f>
        <v>300000</v>
      </c>
      <c r="X29" s="46">
        <f>IF(COUNTIFS('Մոդելներ և պարտադիր վճարներ'!$B$35:$B$37,$D29,'Մոդելներ և պարտադիր վճարներ'!$C$35:$C$37,"ԱՁ")&gt;0,$J29,($S29+INDEX('Մոդելներ և պարտադիր վճարներ'!$D$67:$D$71,IFERROR(MATCH($S29,'Մոդելներ և պարտադիր վճարներ'!$F$67:$F$71,1)+1,1))+INDEX('Մոդելներ և պարտադիր վճարներ'!$E$67:$E$71,IFERROR(MATCH($S29,'Մոդելներ և պարտադիր վճարներ'!$F$67:$F$71,1)+1,1)))*'Մոդելներ և պարտադիր վճարներ'!$C$59)</f>
        <v>274400</v>
      </c>
      <c r="Y29" s="46">
        <f>IF(COUNTIFS('Մոդելներ և պարտադիր վճարներ'!$B$35:$B$37,$D29,'Մոդելներ և պարտադիր վճարներ'!$C$35:$C$37,"ԱՁ")&gt;0,$J29,($T29+INDEX('Մոդելներ և պարտադիր վճարներ'!$D$67:$D$71,IFERROR(MATCH($T29,'Մոդելներ և պարտադիր վճարներ'!$F$67:$F$71,1)+1,1))+INDEX('Մոդելներ և պարտադիր վճարներ'!$E$67:$E$71,IFERROR(MATCH($T29,'Մոդելներ և պարտադիր վճարներ'!$F$67:$F$71,1)+1,1)))*'Մոդելներ և պարտադիր վճարներ'!$C$59)</f>
        <v>314399.99999999994</v>
      </c>
      <c r="Z29" s="46">
        <f>IF(COUNTIFS('Մոդելներ և պարտադիր վճարներ'!$B$35:$B$37,$D29,'Մոդելներ և պարտադիր վճարներ'!$C$35:$C$37,"ԱՁ")&gt;0,$J29,($U29+INDEX('Մոդելներ և պարտադիր վճարներ'!$D$67:$D$71,IFERROR(MATCH($U29,'Մոդելներ և պարտադիր վճարներ'!$F$67:$F$71,1)+1,1))+INDEX('Մոդելներ և պարտադիր վճարներ'!$E$67:$E$71,IFERROR(MATCH($U29,'Մոդելներ և պարտադիր վճարներ'!$F$67:$F$71,1)+1,1)))*'Մոդելներ և պարտադիր վճարներ'!$C$59)</f>
        <v>341066.66666666663</v>
      </c>
      <c r="AA29" s="47">
        <f>IF(COUNTIFS('Մոդելներ և պարտադիր վճարներ'!$B$35:$B$37,$D29,'Մոդելներ և պարտադիր վճարներ'!$C$35:$C$37,"ԱՁ")&gt;0,$J29,($V29+INDEX('Մոդելներ և պարտադիր վճարներ'!$D$67:$D$71,IFERROR(MATCH($V29,'Մոդելներ և պարտադիր վճարներ'!$F$67:$F$71,1)+1,1))+INDEX('Մոդելներ և պարտադիր վճարներ'!$E$67:$E$71,IFERROR(MATCH($V29,'Մոդելներ և պարտադիր վճարներ'!$F$67:$F$71,1)+1,1)))*'Մոդելներ և պարտադիր վճարներ'!$C$59)</f>
        <v>367733.33333333331</v>
      </c>
      <c r="AB29" s="46">
        <f>IF(COUNTIFS('Մոդելներ և պարտադիր վճարներ'!$B$35:$B$37,$D29,'Մոդելներ և պարտադիր վճարներ'!$C$35:$C$37,"ԱՁ")&gt;0,$J29,($W29+INDEX('Մոդելներ և պարտադիր վճարներ'!$D$67:$D$71,IFERROR(MATCH($W29,'Մոդելներ և պարտադիր վճարներ'!$F$67:$F$71,1)+1,1))+INDEX('Մոդելներ և պարտադիր վճարներ'!$E$67:$E$71,IFERROR(MATCH($W29,'Մոդելներ և պարտադիր վճարներ'!$F$67:$F$71,1)+1,1)))*'Մոդելներ և պարտադիր վճարներ'!$C$59)</f>
        <v>407733.33333333331</v>
      </c>
      <c r="AC29" s="51" t="str">
        <f>IF(COUNTIFS('Մոդելներ և պարտադիր վճարներ'!$B$35:$B$37,$D29,'Մոդելներ և պարտադիր վճարներ'!$C$35:$C$37,"ԱՁ")&gt;0,"Աստիճաններ չեն կիրառվում — հաշիվ-ապրանքագիր",IF(COUNTIFS('Մոդելներ և պարտադիր վճարներ'!$B$35:$B$37,$D29,'Մոդելներ և պարտադիր վճարներ'!$C$35:$C$37,"D2D")&gt;0,"Աստիճաններ չեն կիրառվում — տես D2D բաժինը","Ֆիքս × (1 + աստիճանի %)"))</f>
        <v>Ֆիքս × (1 + աստիճանի %)</v>
      </c>
      <c r="AD29" s="52" t="s">
        <v>127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 spans="1:48" ht="30" customHeight="1" x14ac:dyDescent="0.25">
      <c r="A30" s="16"/>
      <c r="B30" s="53" t="s">
        <v>59</v>
      </c>
      <c r="C30" s="53" t="s">
        <v>126</v>
      </c>
      <c r="D30" s="54" t="s">
        <v>130</v>
      </c>
      <c r="E30" s="55">
        <v>1</v>
      </c>
      <c r="F30" s="56">
        <v>1</v>
      </c>
      <c r="G30" s="56">
        <v>1</v>
      </c>
      <c r="H30" s="56">
        <f t="shared" si="8"/>
        <v>0</v>
      </c>
      <c r="I30" s="57" t="s">
        <v>48</v>
      </c>
      <c r="J30" s="45">
        <v>200000</v>
      </c>
      <c r="K30" s="46">
        <f>IF(COUNTIFS('Մոդելներ և պարտադիր վճարներ'!$B$35:$B$37,$D30,'Մոդելներ և պարտադիր վճարներ'!$C$35:$C$37,"ԱՁ")&gt;0,0,$O30*'Մոդելներ և պարտադիր վճարներ'!$C$57)</f>
        <v>54880</v>
      </c>
      <c r="L30" s="46">
        <f>IF(COUNTIFS('Մոդելներ և պարտադիր վճարներ'!$B$35:$B$37,$D30,'Մոդելներ և պարտադիր վճարներ'!$C$35:$C$37,"ԱՁ")&gt;0,0,$O30*'Մոդելներ և պարտադիր վճարներ'!$C$58)</f>
        <v>13720</v>
      </c>
      <c r="M30" s="46">
        <f>IF(COUNTIFS('Մոդելներ և պարտադիր վճարներ'!$B$35:$B$37,$D30,'Մոդելներ և պարտադիր վճարներ'!$C$35:$C$37,"ԱՁ")&gt;0,0,INDEX('Մոդելներ և պարտադիր վճարներ'!$D$67:$D$71,IFERROR(MATCH(IFERROR(INDEX('Մոդելներ և պարտադիր վճարներ'!$D$35:$D$37,MATCH($D30,'Մոդելներ և պարտադիր վճարներ'!$B$35:$B$37,0)),$J30*(1+'Մոդելներ և պարտադիր վճարներ'!$C$60)),'Մոդելներ և պարտադիր վճարներ'!$F$67:$F$71,1)+1,1)))</f>
        <v>1000</v>
      </c>
      <c r="N30" s="46">
        <f>IF(COUNTIFS('Մոդելներ և պարտադիր վճարներ'!$B$35:$B$37,$D30,'Մոդելներ և պարտադիր վճարներ'!$C$35:$C$37,"ԱՁ")&gt;0,0,INDEX('Մոդելներ և պարտադիր վճարներ'!$E$67:$E$71,IFERROR(MATCH(IFERROR(INDEX('Մոդելներ և պարտադիր վճարներ'!$D$35:$D$37,MATCH($D30,'Մոդելներ և պարտադիր վճարներ'!$B$35:$B$37,0)),$J30*(1+'Մոդելներ և պարտադիր վճարներ'!$C$60)),'Մոդելներ և պարտադիր վճարներ'!$F$67:$F$71,1)+1,1)))</f>
        <v>4800</v>
      </c>
      <c r="O30" s="47">
        <f>IF(COUNTIFS('Մոդելներ և պարտադիր վճարներ'!$B$35:$B$37,$D30,'Մոդելներ և պարտադիր վճարներ'!$C$35:$C$37,"ԱՁ")&gt;0,$J30,($J30+$M30+$N30)*'Մոդելներ և պարտադիր վճարներ'!$C$59)</f>
        <v>274400</v>
      </c>
      <c r="P30" s="58">
        <f t="shared" si="9"/>
        <v>200000</v>
      </c>
      <c r="Q30" s="49">
        <f t="shared" si="10"/>
        <v>274400</v>
      </c>
      <c r="R30" s="50" t="str">
        <f>IF(COUNTIFS('Մոդելներ և պարտադիր վճարներ'!$B$35:$B$37,$D30,'Մոդելներ և պարտադիր վճարներ'!$C$35:$C$37,"ԱՁ")&gt;0,"Գ. ԱՁ",IF(COUNTIFS('Մոդելներ և պարտադիր վճարներ'!$B$35:$B$37,$D30,'Մոդելներ և պարտադիր վճարներ'!$C$35:$C$37,"D2D")&gt;0,"Բ. D2D","Ա. Ֆիքս + KPI բոնուս"))</f>
        <v>Ա. Ֆիքս + KPI բոնուս</v>
      </c>
      <c r="S30" s="46">
        <f>IF(COUNTIFS('Մոդելներ և պարտադիր վճարներ'!$B$35:$B$37,$D30,'Մոդելներ և պարտադիր վճարներ'!$C$35:$C$37,"ԱՁ")&gt;0,$J30,IF(COUNTIFS('Մոդելներ և պարտադիր վճարներ'!$B$35:$B$37,$D30,'Մոդելներ և պարտադիր վճարներ'!$C$35:$C$37,"D2D")&gt;0,'Մոդելներ և պարտադիր վճարներ'!$G$26,$J30*(1+'Մոդելներ և պարտադիր վճարներ'!$D$7)))</f>
        <v>200000</v>
      </c>
      <c r="T30" s="46">
        <f>IF(COUNTIFS('Մոդելներ և պարտադիր վճարներ'!$B$35:$B$37,$D30,'Մոդելներ և պարտադիր վճարներ'!$C$35:$C$37,"ԱՁ")&gt;0,$J30,IF(COUNTIFS('Մոդելներ և պարտադիր վճարներ'!$B$35:$B$37,$D30,'Մոդելներ և պարտադիր վճարներ'!$C$35:$C$37,"D2D")&gt;0,'Մոդելներ և պարտադիր վճարներ'!$G$27,$J30*(1+'Մոդելներ և պարտադիր վճարներ'!$D$8)))</f>
        <v>229999.99999999997</v>
      </c>
      <c r="U30" s="46">
        <f>IF(COUNTIFS('Մոդելներ և պարտադիր վճարներ'!$B$35:$B$37,$D30,'Մոդելներ և պարտադիր վճարներ'!$C$35:$C$37,"ԱՁ")&gt;0,$J30,IF(COUNTIFS('Մոդելներ և պարտադիր վճարներ'!$B$35:$B$37,$D30,'Մոդելներ և պարտադիր վճարներ'!$C$35:$C$37,"D2D")&gt;0,'Մոդելներ և պարտադիր վճարներ'!$G$28,$J30*(1+'Մոդելներ և պարտադիր վճարներ'!$D$9)))</f>
        <v>250000</v>
      </c>
      <c r="V30" s="47">
        <f>IF(COUNTIFS('Մոդելներ և պարտադիր վճարներ'!$B$35:$B$37,$D30,'Մոդելներ և պարտադիր վճարներ'!$C$35:$C$37,"ԱՁ")&gt;0,$J30,IF(COUNTIFS('Մոդելներ և պարտադիր վճարներ'!$B$35:$B$37,$D30,'Մոդելներ և պարտադիր վճարներ'!$C$35:$C$37,"D2D")&gt;0,'Մոդելներ և պարտադիր վճարներ'!$G$29,$J30*(1+'Մոդելներ և պարտադիր վճարներ'!$D$10)))</f>
        <v>270000</v>
      </c>
      <c r="W30" s="46">
        <f>IF(COUNTIFS('Մոդելներ և պարտադիր վճարներ'!$B$35:$B$37,$D30,'Մոդելներ և պարտադիր վճարներ'!$C$35:$C$37,"ԱՁ")&gt;0,$J30,IF(COUNTIFS('Մոդելներ և պարտադիր վճարներ'!$B$35:$B$37,$D30,'Մոդելներ և պարտադիր վճարներ'!$C$35:$C$37,"D2D")&gt;0,'Մոդելներ և պարտադիր վճարներ'!$G$30,$J30*(1+'Մոդելներ և պարտադիր վճարներ'!$D$11)))</f>
        <v>300000</v>
      </c>
      <c r="X30" s="46">
        <f>IF(COUNTIFS('Մոդելներ և պարտադիր վճարներ'!$B$35:$B$37,$D30,'Մոդելներ և պարտադիր վճարներ'!$C$35:$C$37,"ԱՁ")&gt;0,$J30,($S30+INDEX('Մոդելներ և պարտադիր վճարներ'!$D$67:$D$71,IFERROR(MATCH($S30,'Մոդելներ և պարտադիր վճարներ'!$F$67:$F$71,1)+1,1))+INDEX('Մոդելներ և պարտադիր վճարներ'!$E$67:$E$71,IFERROR(MATCH($S30,'Մոդելներ և պարտադիր վճարներ'!$F$67:$F$71,1)+1,1)))*'Մոդելներ և պարտադիր վճարներ'!$C$59)</f>
        <v>274400</v>
      </c>
      <c r="Y30" s="46">
        <f>IF(COUNTIFS('Մոդելներ և պարտադիր վճարներ'!$B$35:$B$37,$D30,'Մոդելներ և պարտադիր վճարներ'!$C$35:$C$37,"ԱՁ")&gt;0,$J30,($T30+INDEX('Մոդելներ և պարտադիր վճարներ'!$D$67:$D$71,IFERROR(MATCH($T30,'Մոդելներ և պարտադիր վճարներ'!$F$67:$F$71,1)+1,1))+INDEX('Մոդելներ և պարտադիր վճարներ'!$E$67:$E$71,IFERROR(MATCH($T30,'Մոդելներ և պարտադիր վճարներ'!$F$67:$F$71,1)+1,1)))*'Մոդելներ և պարտադիր վճարներ'!$C$59)</f>
        <v>314399.99999999994</v>
      </c>
      <c r="Z30" s="46">
        <f>IF(COUNTIFS('Մոդելներ և պարտադիր վճարներ'!$B$35:$B$37,$D30,'Մոդելներ և պարտադիր վճարներ'!$C$35:$C$37,"ԱՁ")&gt;0,$J30,($U30+INDEX('Մոդելներ և պարտադիր վճարներ'!$D$67:$D$71,IFERROR(MATCH($U30,'Մոդելներ և պարտադիր վճարներ'!$F$67:$F$71,1)+1,1))+INDEX('Մոդելներ և պարտադիր վճարներ'!$E$67:$E$71,IFERROR(MATCH($U30,'Մոդելներ և պարտադիր վճարներ'!$F$67:$F$71,1)+1,1)))*'Մոդելներ և պարտադիր վճարներ'!$C$59)</f>
        <v>341066.66666666663</v>
      </c>
      <c r="AA30" s="47">
        <f>IF(COUNTIFS('Մոդելներ և պարտադիր վճարներ'!$B$35:$B$37,$D30,'Մոդելներ և պարտադիր վճարներ'!$C$35:$C$37,"ԱՁ")&gt;0,$J30,($V30+INDEX('Մոդելներ և պարտադիր վճարներ'!$D$67:$D$71,IFERROR(MATCH($V30,'Մոդելներ և պարտադիր վճարներ'!$F$67:$F$71,1)+1,1))+INDEX('Մոդելներ և պարտադիր վճարներ'!$E$67:$E$71,IFERROR(MATCH($V30,'Մոդելներ և պարտադիր վճարներ'!$F$67:$F$71,1)+1,1)))*'Մոդելներ և պարտադիր վճարներ'!$C$59)</f>
        <v>367733.33333333331</v>
      </c>
      <c r="AB30" s="46">
        <f>IF(COUNTIFS('Մոդելներ և պարտադիր վճարներ'!$B$35:$B$37,$D30,'Մոդելներ և պարտադիր վճարներ'!$C$35:$C$37,"ԱՁ")&gt;0,$J30,($W30+INDEX('Մոդելներ և պարտադիր վճարներ'!$D$67:$D$71,IFERROR(MATCH($W30,'Մոդելներ և պարտադիր վճարներ'!$F$67:$F$71,1)+1,1))+INDEX('Մոդելներ և պարտադիր վճարներ'!$E$67:$E$71,IFERROR(MATCH($W30,'Մոդելներ և պարտադիր վճարներ'!$F$67:$F$71,1)+1,1)))*'Մոդելներ և պարտադիր վճարներ'!$C$59)</f>
        <v>407733.33333333331</v>
      </c>
      <c r="AC30" s="51" t="str">
        <f>IF(COUNTIFS('Մոդելներ և պարտադիր վճարներ'!$B$35:$B$37,$D30,'Մոդելներ և պարտադիր վճարներ'!$C$35:$C$37,"ԱՁ")&gt;0,"Աստիճաններ չեն կիրառվում — հաշիվ-ապրանքագիր",IF(COUNTIFS('Մոդելներ և պարտադիր վճարներ'!$B$35:$B$37,$D30,'Մոդելներ և պարտադիր վճարներ'!$C$35:$C$37,"D2D")&gt;0,"Աստիճաններ չեն կիրառվում — տես D2D բաժինը","Ֆիքս × (1 + աստիճանի %)"))</f>
        <v>Ֆիքս × (1 + աստիճանի %)</v>
      </c>
      <c r="AD30" s="52" t="s">
        <v>127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</row>
    <row r="31" spans="1:48" ht="30" customHeight="1" x14ac:dyDescent="0.25">
      <c r="A31" s="16"/>
      <c r="B31" s="53" t="s">
        <v>59</v>
      </c>
      <c r="C31" s="53" t="s">
        <v>126</v>
      </c>
      <c r="D31" s="54" t="s">
        <v>131</v>
      </c>
      <c r="E31" s="55">
        <v>1</v>
      </c>
      <c r="F31" s="56">
        <v>1</v>
      </c>
      <c r="G31" s="56">
        <v>1</v>
      </c>
      <c r="H31" s="56">
        <f t="shared" si="8"/>
        <v>0</v>
      </c>
      <c r="I31" s="57" t="s">
        <v>48</v>
      </c>
      <c r="J31" s="45">
        <v>180000</v>
      </c>
      <c r="K31" s="46">
        <f>IF(COUNTIFS('Մոդելներ և պարտադիր վճարներ'!$B$35:$B$37,$D31,'Մոդելներ և պարտադիր վճարներ'!$C$35:$C$37,"ԱՁ")&gt;0,0,$O31*'Մոդելներ և պարտադիր վճարներ'!$C$57)</f>
        <v>49546.666666666664</v>
      </c>
      <c r="L31" s="46">
        <f>IF(COUNTIFS('Մոդելներ և պարտադիր վճարներ'!$B$35:$B$37,$D31,'Մոդելներ և պարտադիր վճարներ'!$C$35:$C$37,"ԱՁ")&gt;0,0,$O31*'Մոդելներ և պարտադիր վճարներ'!$C$58)</f>
        <v>12386.666666666666</v>
      </c>
      <c r="M31" s="46">
        <f>IF(COUNTIFS('Մոդելներ և պարտադիր վճարներ'!$B$35:$B$37,$D31,'Մոդելներ և պարտադիր վճարներ'!$C$35:$C$37,"ԱՁ")&gt;0,0,INDEX('Մոդելներ և պարտադիր վճարներ'!$D$67:$D$71,IFERROR(MATCH(IFERROR(INDEX('Մոդելներ և պարտադիր վճարներ'!$D$35:$D$37,MATCH($D31,'Մոդելներ և պարտադիր վճարներ'!$B$35:$B$37,0)),$J31*(1+'Մոդելներ և պարտադիր վճարներ'!$C$60)),'Մոդելներ և պարտադիր վճարներ'!$F$67:$F$71,1)+1,1)))</f>
        <v>1000</v>
      </c>
      <c r="N31" s="46">
        <f>IF(COUNTIFS('Մոդելներ և պարտադիր վճարներ'!$B$35:$B$37,$D31,'Մոդելներ և պարտադիր վճարներ'!$C$35:$C$37,"ԱՁ")&gt;0,0,INDEX('Մոդելներ և պարտադիր վճարներ'!$E$67:$E$71,IFERROR(MATCH(IFERROR(INDEX('Մոդելներ և պարտադիր վճարներ'!$D$35:$D$37,MATCH($D31,'Մոդելներ և պարտադիր վճարներ'!$B$35:$B$37,0)),$J31*(1+'Մոդելներ և պարտադիր վճարներ'!$C$60)),'Մոդելներ և պարտադիր վճարներ'!$F$67:$F$71,1)+1,1)))</f>
        <v>4800</v>
      </c>
      <c r="O31" s="47">
        <f>IF(COUNTIFS('Մոդելներ և պարտադիր վճարներ'!$B$35:$B$37,$D31,'Մոդելներ և պարտադիր վճարներ'!$C$35:$C$37,"ԱՁ")&gt;0,$J31,($J31+$M31+$N31)*'Մոդելներ և պարտադիր վճարներ'!$C$59)</f>
        <v>247733.33333333331</v>
      </c>
      <c r="P31" s="58">
        <f t="shared" si="9"/>
        <v>180000</v>
      </c>
      <c r="Q31" s="49">
        <f t="shared" si="10"/>
        <v>247733.33333333331</v>
      </c>
      <c r="R31" s="50" t="str">
        <f>IF(COUNTIFS('Մոդելներ և պարտադիր վճարներ'!$B$35:$B$37,$D31,'Մոդելներ և պարտադիր վճարներ'!$C$35:$C$37,"ԱՁ")&gt;0,"Գ. ԱՁ",IF(COUNTIFS('Մոդելներ և պարտադիր վճարներ'!$B$35:$B$37,$D31,'Մոդելներ և պարտադիր վճարներ'!$C$35:$C$37,"D2D")&gt;0,"Բ. D2D","Ա. Ֆիքս + KPI բոնուս"))</f>
        <v>Ա. Ֆիքս + KPI բոնուս</v>
      </c>
      <c r="S31" s="46">
        <f>IF(COUNTIFS('Մոդելներ և պարտադիր վճարներ'!$B$35:$B$37,$D31,'Մոդելներ և պարտադիր վճարներ'!$C$35:$C$37,"ԱՁ")&gt;0,$J31,IF(COUNTIFS('Մոդելներ և պարտադիր վճարներ'!$B$35:$B$37,$D31,'Մոդելներ և պարտադիր վճարներ'!$C$35:$C$37,"D2D")&gt;0,'Մոդելներ և պարտադիր վճարներ'!$G$26,$J31*(1+'Մոդելներ և պարտադիր վճարներ'!$D$7)))</f>
        <v>180000</v>
      </c>
      <c r="T31" s="46">
        <f>IF(COUNTIFS('Մոդելներ և պարտադիր վճարներ'!$B$35:$B$37,$D31,'Մոդելներ և պարտադիր վճարներ'!$C$35:$C$37,"ԱՁ")&gt;0,$J31,IF(COUNTIFS('Մոդելներ և պարտադիր վճարներ'!$B$35:$B$37,$D31,'Մոդելներ և պարտադիր վճարներ'!$C$35:$C$37,"D2D")&gt;0,'Մոդելներ և պարտադիր վճարներ'!$G$27,$J31*(1+'Մոդելներ և պարտադիր վճարներ'!$D$8)))</f>
        <v>206999.99999999997</v>
      </c>
      <c r="U31" s="46">
        <f>IF(COUNTIFS('Մոդելներ և պարտադիր վճարներ'!$B$35:$B$37,$D31,'Մոդելներ և պարտադիր վճարներ'!$C$35:$C$37,"ԱՁ")&gt;0,$J31,IF(COUNTIFS('Մոդելներ և պարտադիր վճարներ'!$B$35:$B$37,$D31,'Մոդելներ և պարտադիր վճարներ'!$C$35:$C$37,"D2D")&gt;0,'Մոդելներ և պարտադիր վճարներ'!$G$28,$J31*(1+'Մոդելներ և պարտադիր վճարներ'!$D$9)))</f>
        <v>225000</v>
      </c>
      <c r="V31" s="47">
        <f>IF(COUNTIFS('Մոդելներ և պարտադիր վճարներ'!$B$35:$B$37,$D31,'Մոդելներ և պարտադիր վճարներ'!$C$35:$C$37,"ԱՁ")&gt;0,$J31,IF(COUNTIFS('Մոդելներ և պարտադիր վճարներ'!$B$35:$B$37,$D31,'Մոդելներ և պարտադիր վճարներ'!$C$35:$C$37,"D2D")&gt;0,'Մոդելներ և պարտադիր վճարներ'!$G$29,$J31*(1+'Մոդելներ և պարտադիր վճարներ'!$D$10)))</f>
        <v>243000.00000000003</v>
      </c>
      <c r="W31" s="46">
        <f>IF(COUNTIFS('Մոդելներ և պարտադիր վճարներ'!$B$35:$B$37,$D31,'Մոդելներ և պարտադիր վճարներ'!$C$35:$C$37,"ԱՁ")&gt;0,$J31,IF(COUNTIFS('Մոդելներ և պարտադիր վճարներ'!$B$35:$B$37,$D31,'Մոդելներ և պարտադիր վճարներ'!$C$35:$C$37,"D2D")&gt;0,'Մոդելներ և պարտադիր վճարներ'!$G$30,$J31*(1+'Մոդելներ և պարտադիր վճարներ'!$D$11)))</f>
        <v>270000</v>
      </c>
      <c r="X31" s="46">
        <f>IF(COUNTIFS('Մոդելներ և պարտադիր վճարներ'!$B$35:$B$37,$D31,'Մոդելներ և պարտադիր վճարներ'!$C$35:$C$37,"ԱՁ")&gt;0,$J31,($S31+INDEX('Մոդելներ և պարտադիր վճարներ'!$D$67:$D$71,IFERROR(MATCH($S31,'Մոդելներ և պարտադիր վճարներ'!$F$67:$F$71,1)+1,1))+INDEX('Մոդելներ և պարտադիր վճարներ'!$E$67:$E$71,IFERROR(MATCH($S31,'Մոդելներ և պարտադիր վճարներ'!$F$67:$F$71,1)+1,1)))*'Մոդելներ և պարտադիր վճարներ'!$C$59)</f>
        <v>247733.33333333331</v>
      </c>
      <c r="Y31" s="46">
        <f>IF(COUNTIFS('Մոդելներ և պարտադիր վճարներ'!$B$35:$B$37,$D31,'Մոդելներ և պարտադիր վճարներ'!$C$35:$C$37,"ԱՁ")&gt;0,$J31,($T31+INDEX('Մոդելներ և պարտադիր վճարներ'!$D$67:$D$71,IFERROR(MATCH($T31,'Մոդելներ և պարտադիր վճարներ'!$F$67:$F$71,1)+1,1))+INDEX('Մոդելներ և պարտադիր վճարներ'!$E$67:$E$71,IFERROR(MATCH($T31,'Մոդելներ և պարտադիր վճարներ'!$F$67:$F$71,1)+1,1)))*'Մոդելներ և պարտադիր վճարներ'!$C$59)</f>
        <v>283733.33333333326</v>
      </c>
      <c r="Z31" s="46">
        <f>IF(COUNTIFS('Մոդելներ և պարտադիր վճարներ'!$B$35:$B$37,$D31,'Մոդելներ և պարտադիր վճարներ'!$C$35:$C$37,"ԱՁ")&gt;0,$J31,($U31+INDEX('Մոդելներ և պարտադիր վճարներ'!$D$67:$D$71,IFERROR(MATCH($U31,'Մոդելներ և պարտադիր վճարներ'!$F$67:$F$71,1)+1,1))+INDEX('Մոդելներ և պարտադիր վճարներ'!$E$67:$E$71,IFERROR(MATCH($U31,'Մոդելներ և պարտադիր վճարներ'!$F$67:$F$71,1)+1,1)))*'Մոդելներ և պարտադիր վճարներ'!$C$59)</f>
        <v>307733.33333333331</v>
      </c>
      <c r="AA31" s="47">
        <f>IF(COUNTIFS('Մոդելներ և պարտադիր վճարներ'!$B$35:$B$37,$D31,'Մոդելներ և պարտադիր վճարներ'!$C$35:$C$37,"ԱՁ")&gt;0,$J31,($V31+INDEX('Մոդելներ և պարտադիր վճարներ'!$D$67:$D$71,IFERROR(MATCH($V31,'Մոդելներ և պարտադիր վճարներ'!$F$67:$F$71,1)+1,1))+INDEX('Մոդելներ և պարտադիր վճարներ'!$E$67:$E$71,IFERROR(MATCH($V31,'Մոդելներ և պարտադիր վճարներ'!$F$67:$F$71,1)+1,1)))*'Մոդելներ և պարտադիր վճարներ'!$C$59)</f>
        <v>331733.33333333337</v>
      </c>
      <c r="AB31" s="46">
        <f>IF(COUNTIFS('Մոդելներ և պարտադիր վճարներ'!$B$35:$B$37,$D31,'Մոդելներ և պարտադիր վճարներ'!$C$35:$C$37,"ԱՁ")&gt;0,$J31,($W31+INDEX('Մոդելներ և պարտադիր վճարներ'!$D$67:$D$71,IFERROR(MATCH($W31,'Մոդելներ և պարտադիր վճարներ'!$F$67:$F$71,1)+1,1))+INDEX('Մոդելներ և պարտադիր վճարներ'!$E$67:$E$71,IFERROR(MATCH($W31,'Մոդելներ և պարտադիր վճարներ'!$F$67:$F$71,1)+1,1)))*'Մոդելներ և պարտադիր վճարներ'!$C$59)</f>
        <v>367733.33333333331</v>
      </c>
      <c r="AC31" s="51" t="str">
        <f>IF(COUNTIFS('Մոդելներ և պարտադիր վճարներ'!$B$35:$B$37,$D31,'Մոդելներ և պարտադիր վճարներ'!$C$35:$C$37,"ԱՁ")&gt;0,"Աստիճաններ չեն կիրառվում — հաշիվ-ապրանքագիր",IF(COUNTIFS('Մոդելներ և պարտադիր վճարներ'!$B$35:$B$37,$D31,'Մոդելներ և պարտադիր վճարներ'!$C$35:$C$37,"D2D")&gt;0,"Աստիճաններ չեն կիրառվում — տես D2D բաժինը","Ֆիքս × (1 + աստիճանի %)"))</f>
        <v>Ֆիքս × (1 + աստիճանի %)</v>
      </c>
      <c r="AD31" s="52" t="s">
        <v>127</v>
      </c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spans="1:48" ht="30" customHeight="1" x14ac:dyDescent="0.25">
      <c r="A32" s="16"/>
      <c r="B32" s="53" t="s">
        <v>59</v>
      </c>
      <c r="C32" s="53" t="s">
        <v>132</v>
      </c>
      <c r="D32" s="54" t="s">
        <v>133</v>
      </c>
      <c r="E32" s="55">
        <v>1</v>
      </c>
      <c r="F32" s="56">
        <v>1</v>
      </c>
      <c r="G32" s="56">
        <v>1</v>
      </c>
      <c r="H32" s="56">
        <f t="shared" si="8"/>
        <v>0</v>
      </c>
      <c r="I32" s="57" t="s">
        <v>48</v>
      </c>
      <c r="J32" s="45">
        <v>150000</v>
      </c>
      <c r="K32" s="46">
        <f>IF(COUNTIFS('Մոդելներ և պարտադիր վճարներ'!$B$35:$B$37,$D32,'Մոդելներ և պարտադիր վճարներ'!$C$35:$C$37,"ԱՁ")&gt;0,0,$O32*'Մոդելներ և պարտադիր վճարներ'!$C$57)</f>
        <v>41546.666666666664</v>
      </c>
      <c r="L32" s="46">
        <f>IF(COUNTIFS('Մոդելներ և պարտադիր վճարներ'!$B$35:$B$37,$D32,'Մոդելներ և պարտադիր վճարներ'!$C$35:$C$37,"ԱՁ")&gt;0,0,$O32*'Մոդելներ և պարտադիր վճարներ'!$C$58)</f>
        <v>10386.666666666666</v>
      </c>
      <c r="M32" s="46">
        <f>IF(COUNTIFS('Մոդելներ և պարտադիր վճարներ'!$B$35:$B$37,$D32,'Մոդելներ և պարտադիր վճարներ'!$C$35:$C$37,"ԱՁ")&gt;0,0,INDEX('Մոդելներ և պարտադիր վճարներ'!$D$67:$D$71,IFERROR(MATCH(IFERROR(INDEX('Մոդելներ և պարտադիր վճարներ'!$D$35:$D$37,MATCH($D32,'Մոդելներ և պարտադիր վճարներ'!$B$35:$B$37,0)),$J32*(1+'Մոդելներ և պարտադիր վճարներ'!$C$60)),'Մոդելներ և պարտադիր վճարներ'!$F$67:$F$71,1)+1,1)))</f>
        <v>1000</v>
      </c>
      <c r="N32" s="46">
        <f>IF(COUNTIFS('Մոդելներ և պարտադիր վճարներ'!$B$35:$B$37,$D32,'Մոդելներ և պարտադիր վճարներ'!$C$35:$C$37,"ԱՁ")&gt;0,0,INDEX('Մոդելներ և պարտադիր վճարներ'!$E$67:$E$71,IFERROR(MATCH(IFERROR(INDEX('Մոդելներ և պարտադիր վճարներ'!$D$35:$D$37,MATCH($D32,'Մոդելներ և պարտադիր վճարներ'!$B$35:$B$37,0)),$J32*(1+'Մոդելներ և պարտադիր վճարներ'!$C$60)),'Մոդելներ և պարտադիր վճարներ'!$F$67:$F$71,1)+1,1)))</f>
        <v>4800</v>
      </c>
      <c r="O32" s="47">
        <f>IF(COUNTIFS('Մոդելներ և պարտադիր վճարներ'!$B$35:$B$37,$D32,'Մոդելներ և պարտադիր վճարներ'!$C$35:$C$37,"ԱՁ")&gt;0,$J32,($J32+$M32+$N32)*'Մոդելներ և պարտադիր վճարներ'!$C$59)</f>
        <v>207733.33333333331</v>
      </c>
      <c r="P32" s="58">
        <f t="shared" si="9"/>
        <v>150000</v>
      </c>
      <c r="Q32" s="49">
        <f t="shared" si="10"/>
        <v>207733.33333333331</v>
      </c>
      <c r="R32" s="50" t="str">
        <f>IF(COUNTIFS('Մոդելներ և պարտադիր վճարներ'!$B$35:$B$37,$D32,'Մոդելներ և պարտադիր վճարներ'!$C$35:$C$37,"ԱՁ")&gt;0,"Գ. ԱՁ",IF(COUNTIFS('Մոդելներ և պարտադիր վճարներ'!$B$35:$B$37,$D32,'Մոդելներ և պարտադիր վճարներ'!$C$35:$C$37,"D2D")&gt;0,"Բ. D2D","Ա. Ֆիքս + KPI բոնուս"))</f>
        <v>Ա. Ֆիքս + KPI բոնուս</v>
      </c>
      <c r="S32" s="46">
        <f>IF(COUNTIFS('Մոդելներ և պարտադիր վճարներ'!$B$35:$B$37,$D32,'Մոդելներ և պարտադիր վճարներ'!$C$35:$C$37,"ԱՁ")&gt;0,$J32,IF(COUNTIFS('Մոդելներ և պարտադիր վճարներ'!$B$35:$B$37,$D32,'Մոդելներ և պարտադիր վճարներ'!$C$35:$C$37,"D2D")&gt;0,'Մոդելներ և պարտադիր վճարներ'!$G$26,$J32*(1+'Մոդելներ և պարտադիր վճարներ'!$D$7)))</f>
        <v>150000</v>
      </c>
      <c r="T32" s="46">
        <f>IF(COUNTIFS('Մոդելներ և պարտադիր վճարներ'!$B$35:$B$37,$D32,'Մոդելներ և պարտադիր վճարներ'!$C$35:$C$37,"ԱՁ")&gt;0,$J32,IF(COUNTIFS('Մոդելներ և պարտադիր վճարներ'!$B$35:$B$37,$D32,'Մոդելներ և պարտադիր վճարներ'!$C$35:$C$37,"D2D")&gt;0,'Մոդելներ և պարտադիր վճարներ'!$G$27,$J32*(1+'Մոդելներ և պարտադիր վճարներ'!$D$8)))</f>
        <v>172500</v>
      </c>
      <c r="U32" s="46">
        <f>IF(COUNTIFS('Մոդելներ և պարտադիր վճարներ'!$B$35:$B$37,$D32,'Մոդելներ և պարտադիր վճարներ'!$C$35:$C$37,"ԱՁ")&gt;0,$J32,IF(COUNTIFS('Մոդելներ և պարտադիր վճարներ'!$B$35:$B$37,$D32,'Մոդելներ և պարտադիր վճարներ'!$C$35:$C$37,"D2D")&gt;0,'Մոդելներ և պարտադիր վճարներ'!$G$28,$J32*(1+'Մոդելներ և պարտադիր վճարներ'!$D$9)))</f>
        <v>187500</v>
      </c>
      <c r="V32" s="47">
        <f>IF(COUNTIFS('Մոդելներ և պարտադիր վճարներ'!$B$35:$B$37,$D32,'Մոդելներ և պարտադիր վճարներ'!$C$35:$C$37,"ԱՁ")&gt;0,$J32,IF(COUNTIFS('Մոդելներ և պարտադիր վճարներ'!$B$35:$B$37,$D32,'Մոդելներ և պարտադիր վճարներ'!$C$35:$C$37,"D2D")&gt;0,'Մոդելներ և պարտադիր վճարներ'!$G$29,$J32*(1+'Մոդելներ և պարտադիր վճարներ'!$D$10)))</f>
        <v>202500</v>
      </c>
      <c r="W32" s="46">
        <f>IF(COUNTIFS('Մոդելներ և պարտադիր վճարներ'!$B$35:$B$37,$D32,'Մոդելներ և պարտադիր վճարներ'!$C$35:$C$37,"ԱՁ")&gt;0,$J32,IF(COUNTIFS('Մոդելներ և պարտադիր վճարներ'!$B$35:$B$37,$D32,'Մոդելներ և պարտադիր վճարներ'!$C$35:$C$37,"D2D")&gt;0,'Մոդելներ և պարտադիր վճարներ'!$G$30,$J32*(1+'Մոդելներ և պարտադիր վճարներ'!$D$11)))</f>
        <v>225000</v>
      </c>
      <c r="X32" s="46">
        <f>IF(COUNTIFS('Մոդելներ և պարտադիր վճարներ'!$B$35:$B$37,$D32,'Մոդելներ և պարտադիր վճարներ'!$C$35:$C$37,"ԱՁ")&gt;0,$J32,($S32+INDEX('Մոդելներ և պարտադիր վճարներ'!$D$67:$D$71,IFERROR(MATCH($S32,'Մոդելներ և պարտադիր վճարներ'!$F$67:$F$71,1)+1,1))+INDEX('Մոդելներ և պարտադիր վճարներ'!$E$67:$E$71,IFERROR(MATCH($S32,'Մոդելներ և պարտադիր վճարներ'!$F$67:$F$71,1)+1,1)))*'Մոդելներ և պարտադիր վճարներ'!$C$59)</f>
        <v>207733.33333333331</v>
      </c>
      <c r="Y32" s="46">
        <f>IF(COUNTIFS('Մոդելներ և պարտադիր վճարներ'!$B$35:$B$37,$D32,'Մոդելներ և պարտադիր վճարներ'!$C$35:$C$37,"ԱՁ")&gt;0,$J32,($T32+INDEX('Մոդելներ և պարտադիր վճարներ'!$D$67:$D$71,IFERROR(MATCH($T32,'Մոդելներ և պարտադիր վճարներ'!$F$67:$F$71,1)+1,1))+INDEX('Մոդելներ և պարտադիր վճարներ'!$E$67:$E$71,IFERROR(MATCH($T32,'Մոդելներ և պարտադիր վճարներ'!$F$67:$F$71,1)+1,1)))*'Մոդելներ և պարտադիր վճարներ'!$C$59)</f>
        <v>237733.33333333331</v>
      </c>
      <c r="Z32" s="46">
        <f>IF(COUNTIFS('Մոդելներ և պարտադիր վճարներ'!$B$35:$B$37,$D32,'Մոդելներ և պարտադիր վճարներ'!$C$35:$C$37,"ԱՁ")&gt;0,$J32,($U32+INDEX('Մոդելներ և պարտադիր վճարներ'!$D$67:$D$71,IFERROR(MATCH($U32,'Մոդելներ և պարտադիր վճարներ'!$F$67:$F$71,1)+1,1))+INDEX('Մոդելներ և պարտադիր վճարներ'!$E$67:$E$71,IFERROR(MATCH($U32,'Մոդելներ և պարտադիր վճարներ'!$F$67:$F$71,1)+1,1)))*'Մոդելներ և պարտադիր վճարներ'!$C$59)</f>
        <v>257733.33333333331</v>
      </c>
      <c r="AA32" s="47">
        <f>IF(COUNTIFS('Մոդելներ և պարտադիր վճարներ'!$B$35:$B$37,$D32,'Մոդելներ և պարտադիր վճարներ'!$C$35:$C$37,"ԱՁ")&gt;0,$J32,($V32+INDEX('Մոդելներ և պարտադիր վճարներ'!$D$67:$D$71,IFERROR(MATCH($V32,'Մոդելներ և պարտադիր վճարներ'!$F$67:$F$71,1)+1,1))+INDEX('Մոդելներ և պարտադիր վճարներ'!$E$67:$E$71,IFERROR(MATCH($V32,'Մոդելներ և պարտադիր վճարներ'!$F$67:$F$71,1)+1,1)))*'Մոդելներ և պարտադիր վճարներ'!$C$59)</f>
        <v>277733.33333333331</v>
      </c>
      <c r="AB32" s="46">
        <f>IF(COUNTIFS('Մոդելներ և պարտադիր վճարներ'!$B$35:$B$37,$D32,'Մոդելներ և պարտադիր վճարներ'!$C$35:$C$37,"ԱՁ")&gt;0,$J32,($W32+INDEX('Մոդելներ և պարտադիր վճարներ'!$D$67:$D$71,IFERROR(MATCH($W32,'Մոդելներ և պարտադիր վճարներ'!$F$67:$F$71,1)+1,1))+INDEX('Մոդելներ և պարտադիր վճարներ'!$E$67:$E$71,IFERROR(MATCH($W32,'Մոդելներ և պարտադիր վճարներ'!$F$67:$F$71,1)+1,1)))*'Մոդելներ և պարտադիր վճարներ'!$C$59)</f>
        <v>307733.33333333331</v>
      </c>
      <c r="AC32" s="51" t="str">
        <f>IF(COUNTIFS('Մոդելներ և պարտադիր վճարներ'!$B$35:$B$37,$D32,'Մոդելներ և պարտադիր վճարներ'!$C$35:$C$37,"ԱՁ")&gt;0,"Աստիճաններ չեն կիրառվում — հաշիվ-ապրանքագիր",IF(COUNTIFS('Մոդելներ և պարտադիր վճարներ'!$B$35:$B$37,$D32,'Մոդելներ և պարտադիր վճարներ'!$C$35:$C$37,"D2D")&gt;0,"Աստիճաններ չեն կիրառվում — տես D2D բաժինը","Ֆիքս × (1 + աստիճանի %)"))</f>
        <v>Ֆիքս × (1 + աստիճանի %)</v>
      </c>
      <c r="AD32" s="52" t="s">
        <v>120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</row>
    <row r="33" spans="1:48" ht="30" customHeight="1" x14ac:dyDescent="0.25">
      <c r="A33" s="16"/>
      <c r="B33" s="53" t="s">
        <v>59</v>
      </c>
      <c r="C33" s="53" t="s">
        <v>132</v>
      </c>
      <c r="D33" s="54" t="s">
        <v>134</v>
      </c>
      <c r="E33" s="55">
        <v>1</v>
      </c>
      <c r="F33" s="56">
        <v>1</v>
      </c>
      <c r="G33" s="56">
        <v>0</v>
      </c>
      <c r="H33" s="56">
        <f t="shared" si="8"/>
        <v>1</v>
      </c>
      <c r="I33" s="57" t="s">
        <v>75</v>
      </c>
      <c r="J33" s="45">
        <v>150000</v>
      </c>
      <c r="K33" s="46">
        <f>IF(COUNTIFS('Մոդելներ և պարտադիր վճարներ'!$B$35:$B$37,$D33,'Մոդելներ և պարտադիր վճարներ'!$C$35:$C$37,"ԱՁ")&gt;0,0,$O33*'Մոդելներ և պարտադիր վճարներ'!$C$57)</f>
        <v>41546.666666666664</v>
      </c>
      <c r="L33" s="46">
        <f>IF(COUNTIFS('Մոդելներ և պարտադիր վճարներ'!$B$35:$B$37,$D33,'Մոդելներ և պարտադիր վճարներ'!$C$35:$C$37,"ԱՁ")&gt;0,0,$O33*'Մոդելներ և պարտադիր վճարներ'!$C$58)</f>
        <v>10386.666666666666</v>
      </c>
      <c r="M33" s="46">
        <f>IF(COUNTIFS('Մոդելներ և պարտադիր վճարներ'!$B$35:$B$37,$D33,'Մոդելներ և պարտադիր վճարներ'!$C$35:$C$37,"ԱՁ")&gt;0,0,INDEX('Մոդելներ և պարտադիր վճարներ'!$D$67:$D$71,IFERROR(MATCH(IFERROR(INDEX('Մոդելներ և պարտադիր վճարներ'!$D$35:$D$37,MATCH($D33,'Մոդելներ և պարտադիր վճարներ'!$B$35:$B$37,0)),$J33*(1+'Մոդելներ և պարտադիր վճարներ'!$C$60)),'Մոդելներ և պարտադիր վճարներ'!$F$67:$F$71,1)+1,1)))</f>
        <v>1000</v>
      </c>
      <c r="N33" s="46">
        <f>IF(COUNTIFS('Մոդելներ և պարտադիր վճարներ'!$B$35:$B$37,$D33,'Մոդելներ և պարտադիր վճարներ'!$C$35:$C$37,"ԱՁ")&gt;0,0,INDEX('Մոդելներ և պարտադիր վճարներ'!$E$67:$E$71,IFERROR(MATCH(IFERROR(INDEX('Մոդելներ և պարտադիր վճարներ'!$D$35:$D$37,MATCH($D33,'Մոդելներ և պարտադիր վճարներ'!$B$35:$B$37,0)),$J33*(1+'Մոդելներ և պարտադիր վճարներ'!$C$60)),'Մոդելներ և պարտադիր վճարներ'!$F$67:$F$71,1)+1,1)))</f>
        <v>4800</v>
      </c>
      <c r="O33" s="47">
        <f>IF(COUNTIFS('Մոդելներ և պարտադիր վճարներ'!$B$35:$B$37,$D33,'Մոդելներ և պարտադիր վճարներ'!$C$35:$C$37,"ԱՁ")&gt;0,$J33,($J33+$M33+$N33)*'Մոդելներ և պարտադիր վճարներ'!$C$59)</f>
        <v>207733.33333333331</v>
      </c>
      <c r="P33" s="58">
        <f t="shared" si="9"/>
        <v>150000</v>
      </c>
      <c r="Q33" s="49">
        <f t="shared" si="10"/>
        <v>207733.33333333331</v>
      </c>
      <c r="R33" s="50" t="str">
        <f>IF(COUNTIFS('Մոդելներ և պարտադիր վճարներ'!$B$35:$B$37,$D33,'Մոդելներ և պարտադիր վճարներ'!$C$35:$C$37,"ԱՁ")&gt;0,"Գ. ԱՁ",IF(COUNTIFS('Մոդելներ և պարտադիր վճարներ'!$B$35:$B$37,$D33,'Մոդելներ և պարտադիր վճարներ'!$C$35:$C$37,"D2D")&gt;0,"Բ. D2D","Ա. Ֆիքս + KPI բոնուս"))</f>
        <v>Ա. Ֆիքս + KPI բոնուս</v>
      </c>
      <c r="S33" s="46">
        <f>IF(COUNTIFS('Մոդելներ և պարտադիր վճարներ'!$B$35:$B$37,$D33,'Մոդելներ և պարտադիր վճարներ'!$C$35:$C$37,"ԱՁ")&gt;0,$J33,IF(COUNTIFS('Մոդելներ և պարտադիր վճարներ'!$B$35:$B$37,$D33,'Մոդելներ և պարտադիր վճարներ'!$C$35:$C$37,"D2D")&gt;0,'Մոդելներ և պարտադիր վճարներ'!$G$26,$J33*(1+'Մոդելներ և պարտադիր վճարներ'!$D$7)))</f>
        <v>150000</v>
      </c>
      <c r="T33" s="46">
        <f>IF(COUNTIFS('Մոդելներ և պարտադիր վճարներ'!$B$35:$B$37,$D33,'Մոդելներ և պարտադիր վճարներ'!$C$35:$C$37,"ԱՁ")&gt;0,$J33,IF(COUNTIFS('Մոդելներ և պարտադիր վճարներ'!$B$35:$B$37,$D33,'Մոդելներ և պարտադիր վճարներ'!$C$35:$C$37,"D2D")&gt;0,'Մոդելներ և պարտադիր վճարներ'!$G$27,$J33*(1+'Մոդելներ և պարտադիր վճարներ'!$D$8)))</f>
        <v>172500</v>
      </c>
      <c r="U33" s="46">
        <f>IF(COUNTIFS('Մոդելներ և պարտադիր վճարներ'!$B$35:$B$37,$D33,'Մոդելներ և պարտադիր վճարներ'!$C$35:$C$37,"ԱՁ")&gt;0,$J33,IF(COUNTIFS('Մոդելներ և պարտադիր վճարներ'!$B$35:$B$37,$D33,'Մոդելներ և պարտադիր վճարներ'!$C$35:$C$37,"D2D")&gt;0,'Մոդելներ և պարտադիր վճարներ'!$G$28,$J33*(1+'Մոդելներ և պարտադիր վճարներ'!$D$9)))</f>
        <v>187500</v>
      </c>
      <c r="V33" s="47">
        <f>IF(COUNTIFS('Մոդելներ և պարտադիր վճարներ'!$B$35:$B$37,$D33,'Մոդելներ և պարտադիր վճարներ'!$C$35:$C$37,"ԱՁ")&gt;0,$J33,IF(COUNTIFS('Մոդելներ և պարտադիր վճարներ'!$B$35:$B$37,$D33,'Մոդելներ և պարտադիր վճարներ'!$C$35:$C$37,"D2D")&gt;0,'Մոդելներ և պարտադիր վճարներ'!$G$29,$J33*(1+'Մոդելներ և պարտադիր վճարներ'!$D$10)))</f>
        <v>202500</v>
      </c>
      <c r="W33" s="46">
        <f>IF(COUNTIFS('Մոդելներ և պարտադիր վճարներ'!$B$35:$B$37,$D33,'Մոդելներ և պարտադիր վճարներ'!$C$35:$C$37,"ԱՁ")&gt;0,$J33,IF(COUNTIFS('Մոդելներ և պարտադիր վճարներ'!$B$35:$B$37,$D33,'Մոդելներ և պարտադիր վճարներ'!$C$35:$C$37,"D2D")&gt;0,'Մոդելներ և պարտադիր վճարներ'!$G$30,$J33*(1+'Մոդելներ և պարտադիր վճարներ'!$D$11)))</f>
        <v>225000</v>
      </c>
      <c r="X33" s="46">
        <f>IF(COUNTIFS('Մոդելներ և պարտադիր վճարներ'!$B$35:$B$37,$D33,'Մոդելներ և պարտադիր վճարներ'!$C$35:$C$37,"ԱՁ")&gt;0,$J33,($S33+INDEX('Մոդելներ և պարտադիր վճարներ'!$D$67:$D$71,IFERROR(MATCH($S33,'Մոդելներ և պարտադիր վճարներ'!$F$67:$F$71,1)+1,1))+INDEX('Մոդելներ և պարտադիր վճարներ'!$E$67:$E$71,IFERROR(MATCH($S33,'Մոդելներ և պարտադիր վճարներ'!$F$67:$F$71,1)+1,1)))*'Մոդելներ և պարտադիր վճարներ'!$C$59)</f>
        <v>207733.33333333331</v>
      </c>
      <c r="Y33" s="46">
        <f>IF(COUNTIFS('Մոդելներ և պարտադիր վճարներ'!$B$35:$B$37,$D33,'Մոդելներ և պարտադիր վճարներ'!$C$35:$C$37,"ԱՁ")&gt;0,$J33,($T33+INDEX('Մոդելներ և պարտադիր վճարներ'!$D$67:$D$71,IFERROR(MATCH($T33,'Մոդելներ և պարտադիր վճարներ'!$F$67:$F$71,1)+1,1))+INDEX('Մոդելներ և պարտադիր վճարներ'!$E$67:$E$71,IFERROR(MATCH($T33,'Մոդելներ և պարտադիր վճարներ'!$F$67:$F$71,1)+1,1)))*'Մոդելներ և պարտադիր վճարներ'!$C$59)</f>
        <v>237733.33333333331</v>
      </c>
      <c r="Z33" s="46">
        <f>IF(COUNTIFS('Մոդելներ և պարտադիր վճարներ'!$B$35:$B$37,$D33,'Մոդելներ և պարտադիր վճարներ'!$C$35:$C$37,"ԱՁ")&gt;0,$J33,($U33+INDEX('Մոդելներ և պարտադիր վճարներ'!$D$67:$D$71,IFERROR(MATCH($U33,'Մոդելներ և պարտադիր վճարներ'!$F$67:$F$71,1)+1,1))+INDEX('Մոդելներ և պարտադիր վճարներ'!$E$67:$E$71,IFERROR(MATCH($U33,'Մոդելներ և պարտադիր վճարներ'!$F$67:$F$71,1)+1,1)))*'Մոդելներ և պարտադիր վճարներ'!$C$59)</f>
        <v>257733.33333333331</v>
      </c>
      <c r="AA33" s="47">
        <f>IF(COUNTIFS('Մոդելներ և պարտադիր վճարներ'!$B$35:$B$37,$D33,'Մոդելներ և պարտադիր վճարներ'!$C$35:$C$37,"ԱՁ")&gt;0,$J33,($V33+INDEX('Մոդելներ և պարտադիր վճարներ'!$D$67:$D$71,IFERROR(MATCH($V33,'Մոդելներ և պարտադիր վճարներ'!$F$67:$F$71,1)+1,1))+INDEX('Մոդելներ և պարտադիր վճարներ'!$E$67:$E$71,IFERROR(MATCH($V33,'Մոդելներ և պարտադիր վճարներ'!$F$67:$F$71,1)+1,1)))*'Մոդելներ և պարտադիր վճարներ'!$C$59)</f>
        <v>277733.33333333331</v>
      </c>
      <c r="AB33" s="46">
        <f>IF(COUNTIFS('Մոդելներ և պարտադիր վճարներ'!$B$35:$B$37,$D33,'Մոդելներ և պարտադիր վճարներ'!$C$35:$C$37,"ԱՁ")&gt;0,$J33,($W33+INDEX('Մոդելներ և պարտադիր վճարներ'!$D$67:$D$71,IFERROR(MATCH($W33,'Մոդելներ և պարտադիր վճարներ'!$F$67:$F$71,1)+1,1))+INDEX('Մոդելներ և պարտադիր վճարներ'!$E$67:$E$71,IFERROR(MATCH($W33,'Մոդելներ և պարտադիր վճարներ'!$F$67:$F$71,1)+1,1)))*'Մոդելներ և պարտադիր վճարներ'!$C$59)</f>
        <v>307733.33333333331</v>
      </c>
      <c r="AC33" s="51" t="str">
        <f>IF(COUNTIFS('Մոդելներ և պարտադիր վճարներ'!$B$35:$B$37,$D33,'Մոդելներ և պարտադիր վճարներ'!$C$35:$C$37,"ԱՁ")&gt;0,"Աստիճաններ չեն կիրառվում — հաշիվ-ապրանքագիր",IF(COUNTIFS('Մոդելներ և պարտադիր վճարներ'!$B$35:$B$37,$D33,'Մոդելներ և պարտադիր վճարներ'!$C$35:$C$37,"D2D")&gt;0,"Աստիճաններ չեն կիրառվում — տես D2D բաժինը","Ֆիքս × (1 + աստիճանի %)"))</f>
        <v>Ֆիքս × (1 + աստիճանի %)</v>
      </c>
      <c r="AD33" s="52" t="s">
        <v>120</v>
      </c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spans="1:48" ht="30" customHeight="1" x14ac:dyDescent="0.25">
      <c r="A34" s="16"/>
      <c r="B34" s="53" t="s">
        <v>59</v>
      </c>
      <c r="C34" s="53" t="s">
        <v>132</v>
      </c>
      <c r="D34" s="54" t="s">
        <v>135</v>
      </c>
      <c r="E34" s="55">
        <v>1</v>
      </c>
      <c r="F34" s="56">
        <v>1</v>
      </c>
      <c r="G34" s="56">
        <v>1</v>
      </c>
      <c r="H34" s="56">
        <f t="shared" si="8"/>
        <v>0</v>
      </c>
      <c r="I34" s="57" t="s">
        <v>48</v>
      </c>
      <c r="J34" s="45">
        <v>180000</v>
      </c>
      <c r="K34" s="46">
        <f>IF(COUNTIFS('Մոդելներ և պարտադիր վճարներ'!$B$35:$B$37,$D34,'Մոդելներ և պարտադիր վճարներ'!$C$35:$C$37,"ԱՁ")&gt;0,0,$O34*'Մոդելներ և պարտադիր վճարներ'!$C$57)</f>
        <v>49546.666666666664</v>
      </c>
      <c r="L34" s="46">
        <f>IF(COUNTIFS('Մոդելներ և պարտադիր վճարներ'!$B$35:$B$37,$D34,'Մոդելներ և պարտադիր վճարներ'!$C$35:$C$37,"ԱՁ")&gt;0,0,$O34*'Մոդելներ և պարտադիր վճարներ'!$C$58)</f>
        <v>12386.666666666666</v>
      </c>
      <c r="M34" s="46">
        <f>IF(COUNTIFS('Մոդելներ և պարտադիր վճարներ'!$B$35:$B$37,$D34,'Մոդելներ և պարտադիր վճարներ'!$C$35:$C$37,"ԱՁ")&gt;0,0,INDEX('Մոդելներ և պարտադիր վճարներ'!$D$67:$D$71,IFERROR(MATCH(IFERROR(INDEX('Մոդելներ և պարտադիր վճարներ'!$D$35:$D$37,MATCH($D34,'Մոդելներ և պարտադիր վճարներ'!$B$35:$B$37,0)),$J34*(1+'Մոդելներ և պարտադիր վճարներ'!$C$60)),'Մոդելներ և պարտադիր վճարներ'!$F$67:$F$71,1)+1,1)))</f>
        <v>1000</v>
      </c>
      <c r="N34" s="46">
        <f>IF(COUNTIFS('Մոդելներ և պարտադիր վճարներ'!$B$35:$B$37,$D34,'Մոդելներ և պարտադիր վճարներ'!$C$35:$C$37,"ԱՁ")&gt;0,0,INDEX('Մոդելներ և պարտադիր վճարներ'!$E$67:$E$71,IFERROR(MATCH(IFERROR(INDEX('Մոդելներ և պարտադիր վճարներ'!$D$35:$D$37,MATCH($D34,'Մոդելներ և պարտադիր վճարներ'!$B$35:$B$37,0)),$J34*(1+'Մոդելներ և պարտադիր վճարներ'!$C$60)),'Մոդելներ և պարտադիր վճարներ'!$F$67:$F$71,1)+1,1)))</f>
        <v>4800</v>
      </c>
      <c r="O34" s="47">
        <f>IF(COUNTIFS('Մոդելներ և պարտադիր վճարներ'!$B$35:$B$37,$D34,'Մոդելներ և պարտադիր վճարներ'!$C$35:$C$37,"ԱՁ")&gt;0,$J34,($J34+$M34+$N34)*'Մոդելներ և պարտադիր վճարներ'!$C$59)</f>
        <v>247733.33333333331</v>
      </c>
      <c r="P34" s="58">
        <f t="shared" si="9"/>
        <v>180000</v>
      </c>
      <c r="Q34" s="49">
        <f t="shared" si="10"/>
        <v>247733.33333333331</v>
      </c>
      <c r="R34" s="50" t="str">
        <f>IF(COUNTIFS('Մոդելներ և պարտադիր վճարներ'!$B$35:$B$37,$D34,'Մոդելներ և պարտադիր վճարներ'!$C$35:$C$37,"ԱՁ")&gt;0,"Գ. ԱՁ",IF(COUNTIFS('Մոդելներ և պարտադիր վճարներ'!$B$35:$B$37,$D34,'Մոդելներ և պարտադիր վճարներ'!$C$35:$C$37,"D2D")&gt;0,"Բ. D2D","Ա. Ֆիքս + KPI բոնուս"))</f>
        <v>Ա. Ֆիքս + KPI բոնուս</v>
      </c>
      <c r="S34" s="46">
        <f>IF(COUNTIFS('Մոդելներ և պարտադիր վճարներ'!$B$35:$B$37,$D34,'Մոդելներ և պարտադիր վճարներ'!$C$35:$C$37,"ԱՁ")&gt;0,$J34,IF(COUNTIFS('Մոդելներ և պարտադիր վճարներ'!$B$35:$B$37,$D34,'Մոդելներ և պարտադիր վճարներ'!$C$35:$C$37,"D2D")&gt;0,'Մոդելներ և պարտադիր վճարներ'!$G$26,$J34*(1+'Մոդելներ և պարտադիր վճարներ'!$D$7)))</f>
        <v>180000</v>
      </c>
      <c r="T34" s="46">
        <f>IF(COUNTIFS('Մոդելներ և պարտադիր վճարներ'!$B$35:$B$37,$D34,'Մոդելներ և պարտադիր վճարներ'!$C$35:$C$37,"ԱՁ")&gt;0,$J34,IF(COUNTIFS('Մոդելներ և պարտադիր վճարներ'!$B$35:$B$37,$D34,'Մոդելներ և պարտադիր վճարներ'!$C$35:$C$37,"D2D")&gt;0,'Մոդելներ և պարտադիր վճարներ'!$G$27,$J34*(1+'Մոդելներ և պարտադիր վճարներ'!$D$8)))</f>
        <v>206999.99999999997</v>
      </c>
      <c r="U34" s="46">
        <f>IF(COUNTIFS('Մոդելներ և պարտադիր վճարներ'!$B$35:$B$37,$D34,'Մոդելներ և պարտադիր վճարներ'!$C$35:$C$37,"ԱՁ")&gt;0,$J34,IF(COUNTIFS('Մոդելներ և պարտադիր վճարներ'!$B$35:$B$37,$D34,'Մոդելներ և պարտադիր վճարներ'!$C$35:$C$37,"D2D")&gt;0,'Մոդելներ և պարտադիր վճարներ'!$G$28,$J34*(1+'Մոդելներ և պարտադիր վճարներ'!$D$9)))</f>
        <v>225000</v>
      </c>
      <c r="V34" s="47">
        <f>IF(COUNTIFS('Մոդելներ և պարտադիր վճարներ'!$B$35:$B$37,$D34,'Մոդելներ և պարտադիր վճարներ'!$C$35:$C$37,"ԱՁ")&gt;0,$J34,IF(COUNTIFS('Մոդելներ և պարտադիր վճարներ'!$B$35:$B$37,$D34,'Մոդելներ և պարտադիր վճարներ'!$C$35:$C$37,"D2D")&gt;0,'Մոդելներ և պարտադիր վճարներ'!$G$29,$J34*(1+'Մոդելներ և պարտադիր վճարներ'!$D$10)))</f>
        <v>243000.00000000003</v>
      </c>
      <c r="W34" s="46">
        <f>IF(COUNTIFS('Մոդելներ և պարտադիր վճարներ'!$B$35:$B$37,$D34,'Մոդելներ և պարտադիր վճարներ'!$C$35:$C$37,"ԱՁ")&gt;0,$J34,IF(COUNTIFS('Մոդելներ և պարտադիր վճարներ'!$B$35:$B$37,$D34,'Մոդելներ և պարտադիր վճարներ'!$C$35:$C$37,"D2D")&gt;0,'Մոդելներ և պարտադիր վճարներ'!$G$30,$J34*(1+'Մոդելներ և պարտադիր վճարներ'!$D$11)))</f>
        <v>270000</v>
      </c>
      <c r="X34" s="46">
        <f>IF(COUNTIFS('Մոդելներ և պարտադիր վճարներ'!$B$35:$B$37,$D34,'Մոդելներ և պարտադիր վճարներ'!$C$35:$C$37,"ԱՁ")&gt;0,$J34,($S34+INDEX('Մոդելներ և պարտադիր վճարներ'!$D$67:$D$71,IFERROR(MATCH($S34,'Մոդելներ և պարտադիր վճարներ'!$F$67:$F$71,1)+1,1))+INDEX('Մոդելներ և պարտադիր վճարներ'!$E$67:$E$71,IFERROR(MATCH($S34,'Մոդելներ և պարտադիր վճարներ'!$F$67:$F$71,1)+1,1)))*'Մոդելներ և պարտադիր վճարներ'!$C$59)</f>
        <v>247733.33333333331</v>
      </c>
      <c r="Y34" s="46">
        <f>IF(COUNTIFS('Մոդելներ և պարտադիր վճարներ'!$B$35:$B$37,$D34,'Մոդելներ և պարտադիր վճարներ'!$C$35:$C$37,"ԱՁ")&gt;0,$J34,($T34+INDEX('Մոդելներ և պարտադիր վճարներ'!$D$67:$D$71,IFERROR(MATCH($T34,'Մոդելներ և պարտադիր վճարներ'!$F$67:$F$71,1)+1,1))+INDEX('Մոդելներ և պարտադիր վճարներ'!$E$67:$E$71,IFERROR(MATCH($T34,'Մոդելներ և պարտադիր վճարներ'!$F$67:$F$71,1)+1,1)))*'Մոդելներ և պարտադիր վճարներ'!$C$59)</f>
        <v>283733.33333333326</v>
      </c>
      <c r="Z34" s="46">
        <f>IF(COUNTIFS('Մոդելներ և պարտադիր վճարներ'!$B$35:$B$37,$D34,'Մոդելներ և պարտադիր վճարներ'!$C$35:$C$37,"ԱՁ")&gt;0,$J34,($U34+INDEX('Մոդելներ և պարտադիր վճարներ'!$D$67:$D$71,IFERROR(MATCH($U34,'Մոդելներ և պարտադիր վճարներ'!$F$67:$F$71,1)+1,1))+INDEX('Մոդելներ և պարտադիր վճարներ'!$E$67:$E$71,IFERROR(MATCH($U34,'Մոդելներ և պարտադիր վճարներ'!$F$67:$F$71,1)+1,1)))*'Մոդելներ և պարտադիր վճարներ'!$C$59)</f>
        <v>307733.33333333331</v>
      </c>
      <c r="AA34" s="47">
        <f>IF(COUNTIFS('Մոդելներ և պարտադիր վճարներ'!$B$35:$B$37,$D34,'Մոդելներ և պարտադիր վճարներ'!$C$35:$C$37,"ԱՁ")&gt;0,$J34,($V34+INDEX('Մոդելներ և պարտադիր վճարներ'!$D$67:$D$71,IFERROR(MATCH($V34,'Մոդելներ և պարտադիր վճարներ'!$F$67:$F$71,1)+1,1))+INDEX('Մոդելներ և պարտադիր վճարներ'!$E$67:$E$71,IFERROR(MATCH($V34,'Մոդելներ և պարտադիր վճարներ'!$F$67:$F$71,1)+1,1)))*'Մոդելներ և պարտադիր վճարներ'!$C$59)</f>
        <v>331733.33333333337</v>
      </c>
      <c r="AB34" s="46">
        <f>IF(COUNTIFS('Մոդելներ և պարտադիր վճարներ'!$B$35:$B$37,$D34,'Մոդելներ և պարտադիր վճարներ'!$C$35:$C$37,"ԱՁ")&gt;0,$J34,($W34+INDEX('Մոդելներ և պարտադիր վճարներ'!$D$67:$D$71,IFERROR(MATCH($W34,'Մոդելներ և պարտադիր վճարներ'!$F$67:$F$71,1)+1,1))+INDEX('Մոդելներ և պարտադիր վճարներ'!$E$67:$E$71,IFERROR(MATCH($W34,'Մոդելներ և պարտադիր վճարներ'!$F$67:$F$71,1)+1,1)))*'Մոդելներ և պարտադիր վճարներ'!$C$59)</f>
        <v>367733.33333333331</v>
      </c>
      <c r="AC34" s="51" t="str">
        <f>IF(COUNTIFS('Մոդելներ և պարտադիր վճարներ'!$B$35:$B$37,$D34,'Մոդելներ և պարտադիր վճարներ'!$C$35:$C$37,"ԱՁ")&gt;0,"Աստիճաններ չեն կիրառվում — հաշիվ-ապրանքագիր",IF(COUNTIFS('Մոդելներ և պարտադիր վճարներ'!$B$35:$B$37,$D34,'Մոդելներ և պարտադիր վճարներ'!$C$35:$C$37,"D2D")&gt;0,"Աստիճաններ չեն կիրառվում — տես D2D բաժինը","Ֆիքս × (1 + աստիճանի %)"))</f>
        <v>Ֆիքս × (1 + աստիճանի %)</v>
      </c>
      <c r="AD34" s="52" t="s">
        <v>120</v>
      </c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spans="1:48" ht="30" customHeight="1" x14ac:dyDescent="0.25">
      <c r="A35" s="16"/>
      <c r="B35" s="53" t="s">
        <v>59</v>
      </c>
      <c r="C35" s="53" t="s">
        <v>132</v>
      </c>
      <c r="D35" s="54" t="s">
        <v>136</v>
      </c>
      <c r="E35" s="55">
        <v>1</v>
      </c>
      <c r="F35" s="56">
        <v>2</v>
      </c>
      <c r="G35" s="56">
        <v>1</v>
      </c>
      <c r="H35" s="56">
        <f t="shared" si="8"/>
        <v>1</v>
      </c>
      <c r="I35" s="57" t="s">
        <v>76</v>
      </c>
      <c r="J35" s="45">
        <v>200000</v>
      </c>
      <c r="K35" s="46">
        <f>IF(COUNTIFS('Մոդելներ և պարտադիր վճարներ'!$B$35:$B$37,$D35,'Մոդելներ և պարտադիր վճարներ'!$C$35:$C$37,"ԱՁ")&gt;0,0,$O35*'Մոդելներ և պարտադիր վճարներ'!$C$57)</f>
        <v>54880</v>
      </c>
      <c r="L35" s="46">
        <f>IF(COUNTIFS('Մոդելներ և պարտադիր վճարներ'!$B$35:$B$37,$D35,'Մոդելներ և պարտադիր վճարներ'!$C$35:$C$37,"ԱՁ")&gt;0,0,$O35*'Մոդելներ և պարտադիր վճարներ'!$C$58)</f>
        <v>13720</v>
      </c>
      <c r="M35" s="46">
        <f>IF(COUNTIFS('Մոդելներ և պարտադիր վճարներ'!$B$35:$B$37,$D35,'Մոդելներ և պարտադիր վճարներ'!$C$35:$C$37,"ԱՁ")&gt;0,0,INDEX('Մոդելներ և պարտադիր վճարներ'!$D$67:$D$71,IFERROR(MATCH(IFERROR(INDEX('Մոդելներ և պարտադիր վճարներ'!$D$35:$D$37,MATCH($D35,'Մոդելներ և պարտադիր վճարներ'!$B$35:$B$37,0)),$J35*(1+'Մոդելներ և պարտադիր վճարներ'!$C$60)),'Մոդելներ և պարտադիր վճարներ'!$F$67:$F$71,1)+1,1)))</f>
        <v>1000</v>
      </c>
      <c r="N35" s="46">
        <f>IF(COUNTIFS('Մոդելներ և պարտադիր վճարներ'!$B$35:$B$37,$D35,'Մոդելներ և պարտադիր վճարներ'!$C$35:$C$37,"ԱՁ")&gt;0,0,INDEX('Մոդելներ և պարտադիր վճարներ'!$E$67:$E$71,IFERROR(MATCH(IFERROR(INDEX('Մոդելներ և պարտադիր վճարներ'!$D$35:$D$37,MATCH($D35,'Մոդելներ և պարտադիր վճարներ'!$B$35:$B$37,0)),$J35*(1+'Մոդելներ և պարտադիր վճարներ'!$C$60)),'Մոդելներ և պարտադիր վճարներ'!$F$67:$F$71,1)+1,1)))</f>
        <v>4800</v>
      </c>
      <c r="O35" s="47">
        <f>IF(COUNTIFS('Մոդելներ և պարտադիր վճարներ'!$B$35:$B$37,$D35,'Մոդելներ և պարտադիր վճարներ'!$C$35:$C$37,"ԱՁ")&gt;0,$J35,($J35+$M35+$N35)*'Մոդելներ և պարտադիր վճարներ'!$C$59)</f>
        <v>274400</v>
      </c>
      <c r="P35" s="58">
        <f t="shared" si="9"/>
        <v>400000</v>
      </c>
      <c r="Q35" s="49">
        <f t="shared" si="10"/>
        <v>548800</v>
      </c>
      <c r="R35" s="50" t="str">
        <f>IF(COUNTIFS('Մոդելներ և պարտադիր վճարներ'!$B$35:$B$37,$D35,'Մոդելներ և պարտադիր վճարներ'!$C$35:$C$37,"ԱՁ")&gt;0,"Գ. ԱՁ",IF(COUNTIFS('Մոդելներ և պարտադիր վճարներ'!$B$35:$B$37,$D35,'Մոդելներ և պարտադիր վճարներ'!$C$35:$C$37,"D2D")&gt;0,"Բ. D2D","Ա. Ֆիքս + KPI բոնուս"))</f>
        <v>Ա. Ֆիքս + KPI բոնուս</v>
      </c>
      <c r="S35" s="46">
        <f>IF(COUNTIFS('Մոդելներ և պարտադիր վճարներ'!$B$35:$B$37,$D35,'Մոդելներ և պարտադիր վճարներ'!$C$35:$C$37,"ԱՁ")&gt;0,$J35,IF(COUNTIFS('Մոդելներ և պարտադիր վճարներ'!$B$35:$B$37,$D35,'Մոդելներ և պարտադիր վճարներ'!$C$35:$C$37,"D2D")&gt;0,'Մոդելներ և պարտադիր վճարներ'!$G$26,$J35*(1+'Մոդելներ և պարտադիր վճարներ'!$D$7)))</f>
        <v>200000</v>
      </c>
      <c r="T35" s="46">
        <f>IF(COUNTIFS('Մոդելներ և պարտադիր վճարներ'!$B$35:$B$37,$D35,'Մոդելներ և պարտադիր վճարներ'!$C$35:$C$37,"ԱՁ")&gt;0,$J35,IF(COUNTIFS('Մոդելներ և պարտադիր վճարներ'!$B$35:$B$37,$D35,'Մոդելներ և պարտադիր վճարներ'!$C$35:$C$37,"D2D")&gt;0,'Մոդելներ և պարտադիր վճարներ'!$G$27,$J35*(1+'Մոդելներ և պարտադիր վճարներ'!$D$8)))</f>
        <v>229999.99999999997</v>
      </c>
      <c r="U35" s="46">
        <f>IF(COUNTIFS('Մոդելներ և պարտադիր վճարներ'!$B$35:$B$37,$D35,'Մոդելներ և պարտադիր վճարներ'!$C$35:$C$37,"ԱՁ")&gt;0,$J35,IF(COUNTIFS('Մոդելներ և պարտադիր վճարներ'!$B$35:$B$37,$D35,'Մոդելներ և պարտադիր վճարներ'!$C$35:$C$37,"D2D")&gt;0,'Մոդելներ և պարտադիր վճարներ'!$G$28,$J35*(1+'Մոդելներ և պարտադիր վճարներ'!$D$9)))</f>
        <v>250000</v>
      </c>
      <c r="V35" s="47">
        <f>IF(COUNTIFS('Մոդելներ և պարտադիր վճարներ'!$B$35:$B$37,$D35,'Մոդելներ և պարտադիր վճարներ'!$C$35:$C$37,"ԱՁ")&gt;0,$J35,IF(COUNTIFS('Մոդելներ և պարտադիր վճարներ'!$B$35:$B$37,$D35,'Մոդելներ և պարտադիր վճարներ'!$C$35:$C$37,"D2D")&gt;0,'Մոդելներ և պարտադիր վճարներ'!$G$29,$J35*(1+'Մոդելներ և պարտադիր վճարներ'!$D$10)))</f>
        <v>270000</v>
      </c>
      <c r="W35" s="46">
        <f>IF(COUNTIFS('Մոդելներ և պարտադիր վճարներ'!$B$35:$B$37,$D35,'Մոդելներ և պարտադիր վճարներ'!$C$35:$C$37,"ԱՁ")&gt;0,$J35,IF(COUNTIFS('Մոդելներ և պարտադիր վճարներ'!$B$35:$B$37,$D35,'Մոդելներ և պարտադիր վճարներ'!$C$35:$C$37,"D2D")&gt;0,'Մոդելներ և պարտադիր վճարներ'!$G$30,$J35*(1+'Մոդելներ և պարտադիր վճարներ'!$D$11)))</f>
        <v>300000</v>
      </c>
      <c r="X35" s="46">
        <f>IF(COUNTIFS('Մոդելներ և պարտադիր վճարներ'!$B$35:$B$37,$D35,'Մոդելներ և պարտադիր վճարներ'!$C$35:$C$37,"ԱՁ")&gt;0,$J35,($S35+INDEX('Մոդելներ և պարտադիր վճարներ'!$D$67:$D$71,IFERROR(MATCH($S35,'Մոդելներ և պարտադիր վճարներ'!$F$67:$F$71,1)+1,1))+INDEX('Մոդելներ և պարտադիր վճարներ'!$E$67:$E$71,IFERROR(MATCH($S35,'Մոդելներ և պարտադիր վճարներ'!$F$67:$F$71,1)+1,1)))*'Մոդելներ և պարտադիր վճարներ'!$C$59)</f>
        <v>274400</v>
      </c>
      <c r="Y35" s="46">
        <f>IF(COUNTIFS('Մոդելներ և պարտադիր վճարներ'!$B$35:$B$37,$D35,'Մոդելներ և պարտադիր վճարներ'!$C$35:$C$37,"ԱՁ")&gt;0,$J35,($T35+INDEX('Մոդելներ և պարտադիր վճարներ'!$D$67:$D$71,IFERROR(MATCH($T35,'Մոդելներ և պարտադիր վճարներ'!$F$67:$F$71,1)+1,1))+INDEX('Մոդելներ և պարտադիր վճարներ'!$E$67:$E$71,IFERROR(MATCH($T35,'Մոդելներ և պարտադիր վճարներ'!$F$67:$F$71,1)+1,1)))*'Մոդելներ և պարտադիր վճարներ'!$C$59)</f>
        <v>314399.99999999994</v>
      </c>
      <c r="Z35" s="46">
        <f>IF(COUNTIFS('Մոդելներ և պարտադիր վճարներ'!$B$35:$B$37,$D35,'Մոդելներ և պարտադիր վճարներ'!$C$35:$C$37,"ԱՁ")&gt;0,$J35,($U35+INDEX('Մոդելներ և պարտադիր վճարներ'!$D$67:$D$71,IFERROR(MATCH($U35,'Մոդելներ և պարտադիր վճարներ'!$F$67:$F$71,1)+1,1))+INDEX('Մոդելներ և պարտադիր վճարներ'!$E$67:$E$71,IFERROR(MATCH($U35,'Մոդելներ և պարտադիր վճարներ'!$F$67:$F$71,1)+1,1)))*'Մոդելներ և պարտադիր վճարներ'!$C$59)</f>
        <v>341066.66666666663</v>
      </c>
      <c r="AA35" s="47">
        <f>IF(COUNTIFS('Մոդելներ և պարտադիր վճարներ'!$B$35:$B$37,$D35,'Մոդելներ և պարտադիր վճարներ'!$C$35:$C$37,"ԱՁ")&gt;0,$J35,($V35+INDEX('Մոդելներ և պարտադիր վճարներ'!$D$67:$D$71,IFERROR(MATCH($V35,'Մոդելներ և պարտադիր վճարներ'!$F$67:$F$71,1)+1,1))+INDEX('Մոդելներ և պարտադիր վճարներ'!$E$67:$E$71,IFERROR(MATCH($V35,'Մոդելներ և պարտադիր վճարներ'!$F$67:$F$71,1)+1,1)))*'Մոդելներ և պարտադիր վճարներ'!$C$59)</f>
        <v>367733.33333333331</v>
      </c>
      <c r="AB35" s="46">
        <f>IF(COUNTIFS('Մոդելներ և պարտադիր վճարներ'!$B$35:$B$37,$D35,'Մոդելներ և պարտադիր վճարներ'!$C$35:$C$37,"ԱՁ")&gt;0,$J35,($W35+INDEX('Մոդելներ և պարտադիր վճարներ'!$D$67:$D$71,IFERROR(MATCH($W35,'Մոդելներ և պարտադիր վճարներ'!$F$67:$F$71,1)+1,1))+INDEX('Մոդելներ և պարտադիր վճարներ'!$E$67:$E$71,IFERROR(MATCH($W35,'Մոդելներ և պարտադիր վճարներ'!$F$67:$F$71,1)+1,1)))*'Մոդելներ և պարտադիր վճարներ'!$C$59)</f>
        <v>407733.33333333331</v>
      </c>
      <c r="AC35" s="51" t="str">
        <f>IF(COUNTIFS('Մոդելներ և պարտադիր վճարներ'!$B$35:$B$37,$D35,'Մոդելներ և պարտադիր վճարներ'!$C$35:$C$37,"ԱՁ")&gt;0,"Աստիճաններ չեն կիրառվում — հաշիվ-ապրանքագիր",IF(COUNTIFS('Մոդելներ և պարտադիր վճարներ'!$B$35:$B$37,$D35,'Մոդելներ և պարտադիր վճարներ'!$C$35:$C$37,"D2D")&gt;0,"Աստիճաններ չեն կիրառվում — տես D2D բաժինը","Ֆիքս × (1 + աստիճանի %)"))</f>
        <v>Ֆիքս × (1 + աստիճանի %)</v>
      </c>
      <c r="AD35" s="52" t="s">
        <v>120</v>
      </c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</row>
    <row r="36" spans="1:48" ht="30" customHeight="1" x14ac:dyDescent="0.25">
      <c r="A36" s="16"/>
      <c r="B36" s="130" t="s">
        <v>137</v>
      </c>
      <c r="C36" s="130"/>
      <c r="D36" s="130"/>
      <c r="E36" s="59"/>
      <c r="F36" s="60">
        <f>SUM(F22:F35)</f>
        <v>22</v>
      </c>
      <c r="G36" s="60">
        <f>SUM(G22:G35)</f>
        <v>13</v>
      </c>
      <c r="H36" s="60">
        <f>SUM(H22:H35)</f>
        <v>9</v>
      </c>
      <c r="I36" s="60"/>
      <c r="J36" s="60">
        <f t="shared" ref="J36:Q36" si="11">SUM(J22:J35)</f>
        <v>2600000</v>
      </c>
      <c r="K36" s="60">
        <f t="shared" si="11"/>
        <v>716586.66666666651</v>
      </c>
      <c r="L36" s="60">
        <f t="shared" si="11"/>
        <v>179146.66666666663</v>
      </c>
      <c r="M36" s="60">
        <f t="shared" si="11"/>
        <v>14000</v>
      </c>
      <c r="N36" s="60">
        <f t="shared" si="11"/>
        <v>73200</v>
      </c>
      <c r="O36" s="60">
        <f t="shared" si="11"/>
        <v>3582933.3333333335</v>
      </c>
      <c r="P36" s="60">
        <f t="shared" si="11"/>
        <v>4010000</v>
      </c>
      <c r="Q36" s="61">
        <f t="shared" si="11"/>
        <v>5524799.9999999981</v>
      </c>
      <c r="R36" s="62"/>
      <c r="S36" s="60">
        <f>SUMPRODUCT($S$22:$S$35,$F$22:$F$35)</f>
        <v>4010000</v>
      </c>
      <c r="T36" s="60">
        <f>SUMPRODUCT($T$22:$T$35,$F$22:$F$35)</f>
        <v>4611500</v>
      </c>
      <c r="U36" s="60">
        <f>SUMPRODUCT($U$22:$U$35,$F$22:$F$35)</f>
        <v>5012500</v>
      </c>
      <c r="V36" s="60">
        <f>SUMPRODUCT($V$22:$V$35,$F$22:$F$35)</f>
        <v>5413500</v>
      </c>
      <c r="W36" s="60">
        <f>SUMPRODUCT($W$22:$W$35,$F$22:$F$35)</f>
        <v>6015000</v>
      </c>
      <c r="X36" s="60">
        <f>SUMPRODUCT($X$22:$X$35,$F$22:$F$35)</f>
        <v>5516799.9999999981</v>
      </c>
      <c r="Y36" s="60">
        <f>SUMPRODUCT($Y$22:$Y$35,$F$22:$F$35)</f>
        <v>6318799.9999999981</v>
      </c>
      <c r="Z36" s="60">
        <f>SUMPRODUCT($Z$22:$Z$35,$F$22:$F$35)</f>
        <v>6853466.6666666651</v>
      </c>
      <c r="AA36" s="60">
        <f>SUMPRODUCT($AA$22:$AA$35,$F$22:$F$35)</f>
        <v>7388133.333333333</v>
      </c>
      <c r="AB36" s="60">
        <f>SUMPRODUCT($AB$22:$AB$35,$F$22:$F$35)</f>
        <v>8198133.3333333321</v>
      </c>
      <c r="AC36" s="63"/>
      <c r="AD36" s="64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</row>
    <row r="37" spans="1:48" ht="6" customHeight="1" x14ac:dyDescent="0.25">
      <c r="A37" s="16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37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65"/>
      <c r="AD37" s="6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</row>
    <row r="38" spans="1:48" ht="34.5" customHeight="1" x14ac:dyDescent="0.25">
      <c r="A38" s="16"/>
      <c r="B38" s="129" t="s">
        <v>138</v>
      </c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67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</row>
    <row r="39" spans="1:48" ht="30" customHeight="1" x14ac:dyDescent="0.25">
      <c r="A39" s="16"/>
      <c r="B39" s="53" t="s">
        <v>60</v>
      </c>
      <c r="C39" s="53" t="s">
        <v>60</v>
      </c>
      <c r="D39" s="54" t="s">
        <v>139</v>
      </c>
      <c r="E39" s="55">
        <v>1</v>
      </c>
      <c r="F39" s="56">
        <v>1</v>
      </c>
      <c r="G39" s="56">
        <v>1</v>
      </c>
      <c r="H39" s="56">
        <f>$F39-$G39</f>
        <v>0</v>
      </c>
      <c r="I39" s="57" t="s">
        <v>48</v>
      </c>
      <c r="J39" s="45">
        <v>300000</v>
      </c>
      <c r="K39" s="46">
        <f>IF(COUNTIFS('Մոդելներ և պարտադիր վճարներ'!$B$35:$B$37,$D39,'Մոդելներ և պարտադիր վճարներ'!$C$35:$C$37,"ԱՁ")&gt;0,0,$O39*'Մոդելներ և պարտադիր վճարներ'!$C$57)</f>
        <v>83146.666666666672</v>
      </c>
      <c r="L39" s="46">
        <f>IF(COUNTIFS('Մոդելներ և պարտադիր վճարներ'!$B$35:$B$37,$D39,'Մոդելներ և պարտադիր վճարներ'!$C$35:$C$37,"ԱՁ")&gt;0,0,$O39*'Մոդելներ և պարտադիր վճարներ'!$C$58)</f>
        <v>20786.666666666668</v>
      </c>
      <c r="M39" s="46">
        <f>IF(COUNTIFS('Մոդելներ և պարտադիր վճարներ'!$B$35:$B$37,$D39,'Մոդելներ և պարտադիր վճարներ'!$C$35:$C$37,"ԱՁ")&gt;0,0,INDEX('Մոդելներ և պարտադիր վճարներ'!$D$67:$D$71,IFERROR(MATCH(IFERROR(INDEX('Մոդելներ և պարտադիր վճարներ'!$D$35:$D$37,MATCH($D39,'Մոդելներ և պարտադիր վճարներ'!$B$35:$B$37,0)),$J39*(1+'Մոդելներ և պարտադիր վճարներ'!$C$60)),'Մոդելներ և պարտադիր վճարներ'!$F$67:$F$71,1)+1,1)))</f>
        <v>1000</v>
      </c>
      <c r="N39" s="46">
        <f>IF(COUNTIFS('Մոդելներ և պարտադիր վճարներ'!$B$35:$B$37,$D39,'Մոդելներ և պարտադիր վճարներ'!$C$35:$C$37,"ԱՁ")&gt;0,0,INDEX('Մոդելներ և պարտադիր վճարներ'!$E$67:$E$71,IFERROR(MATCH(IFERROR(INDEX('Մոդելներ և պարտադիր վճարներ'!$D$35:$D$37,MATCH($D39,'Մոդելներ և պարտադիր վճարներ'!$B$35:$B$37,0)),$J39*(1+'Մոդելներ և պարտադիր վճարներ'!$C$60)),'Մոդելներ և պարտադիր վճարներ'!$F$67:$F$71,1)+1,1)))</f>
        <v>10800</v>
      </c>
      <c r="O39" s="47">
        <f>IF(COUNTIFS('Մոդելներ և պարտադիր վճարներ'!$B$35:$B$37,$D39,'Մոդելներ և պարտադիր վճարներ'!$C$35:$C$37,"ԱՁ")&gt;0,$J39,($J39+$M39+$N39)*'Մոդելներ և պարտադիր վճարներ'!$C$59)</f>
        <v>415733.33333333331</v>
      </c>
      <c r="P39" s="58">
        <f>F39*$J39</f>
        <v>300000</v>
      </c>
      <c r="Q39" s="49">
        <f>O39*F39</f>
        <v>415733.33333333331</v>
      </c>
      <c r="R39" s="50" t="str">
        <f>IF(COUNTIFS('Մոդելներ և պարտադիր վճարներ'!$B$35:$B$37,$D39,'Մոդելներ և պարտադիր վճարներ'!$C$35:$C$37,"ԱՁ")&gt;0,"Գ. ԱՁ",IF(COUNTIFS('Մոդելներ և պարտադիր վճարներ'!$B$35:$B$37,$D39,'Մոդելներ և պարտադիր վճարներ'!$C$35:$C$37,"D2D")&gt;0,"Բ. D2D","Ա. Ֆիքս + KPI բոնուս"))</f>
        <v>Ա. Ֆիքս + KPI բոնուս</v>
      </c>
      <c r="S39" s="46">
        <f>IF(COUNTIFS('Մոդելներ և պարտադիր վճարներ'!$B$35:$B$37,$D39,'Մոդելներ և պարտադիր վճարներ'!$C$35:$C$37,"ԱՁ")&gt;0,$J39,IF(COUNTIFS('Մոդելներ և պարտադիր վճարներ'!$B$35:$B$37,$D39,'Մոդելներ և պարտադիր վճարներ'!$C$35:$C$37,"D2D")&gt;0,'Մոդելներ և պարտադիր վճարներ'!$G$26,$J39*(1+'Մոդելներ և պարտադիր վճարներ'!$D$7)))</f>
        <v>300000</v>
      </c>
      <c r="T39" s="46">
        <f>IF(COUNTIFS('Մոդելներ և պարտադիր վճարներ'!$B$35:$B$37,$D39,'Մոդելներ և պարտադիր վճարներ'!$C$35:$C$37,"ԱՁ")&gt;0,$J39,IF(COUNTIFS('Մոդելներ և պարտադիր վճարներ'!$B$35:$B$37,$D39,'Մոդելներ և պարտադիր վճարներ'!$C$35:$C$37,"D2D")&gt;0,'Մոդելներ և պարտադիր վճարներ'!$G$27,$J39*(1+'Մոդելներ և պարտադիր վճարներ'!$D$8)))</f>
        <v>345000</v>
      </c>
      <c r="U39" s="46">
        <f>IF(COUNTIFS('Մոդելներ և պարտադիր վճարներ'!$B$35:$B$37,$D39,'Մոդելներ և պարտադիր վճարներ'!$C$35:$C$37,"ԱՁ")&gt;0,$J39,IF(COUNTIFS('Մոդելներ և պարտադիր վճարներ'!$B$35:$B$37,$D39,'Մոդելներ և պարտադիր վճարներ'!$C$35:$C$37,"D2D")&gt;0,'Մոդելներ և պարտադիր վճարներ'!$G$28,$J39*(1+'Մոդելներ և պարտադիր վճարներ'!$D$9)))</f>
        <v>375000</v>
      </c>
      <c r="V39" s="47">
        <f>IF(COUNTIFS('Մոդելներ և պարտադիր վճարներ'!$B$35:$B$37,$D39,'Մոդելներ և պարտադիր վճարներ'!$C$35:$C$37,"ԱՁ")&gt;0,$J39,IF(COUNTIFS('Մոդելներ և պարտադիր վճարներ'!$B$35:$B$37,$D39,'Մոդելներ և պարտադիր վճարներ'!$C$35:$C$37,"D2D")&gt;0,'Մոդելներ և պարտադիր վճարներ'!$G$29,$J39*(1+'Մոդելներ և պարտադիր վճարներ'!$D$10)))</f>
        <v>405000</v>
      </c>
      <c r="W39" s="46">
        <f>IF(COUNTIFS('Մոդելներ և պարտադիր վճարներ'!$B$35:$B$37,$D39,'Մոդելներ և պարտադիր վճարներ'!$C$35:$C$37,"ԱՁ")&gt;0,$J39,IF(COUNTIFS('Մոդելներ և պարտադիր վճարներ'!$B$35:$B$37,$D39,'Մոդելներ և պարտադիր վճարներ'!$C$35:$C$37,"D2D")&gt;0,'Մոդելներ և պարտադիր վճարներ'!$G$30,$J39*(1+'Մոդելներ և պարտադիր վճարներ'!$D$11)))</f>
        <v>450000</v>
      </c>
      <c r="X39" s="46">
        <f>IF(COUNTIFS('Մոդելներ և պարտադիր վճարներ'!$B$35:$B$37,$D39,'Մոդելներ և պարտադիր վճարներ'!$C$35:$C$37,"ԱՁ")&gt;0,$J39,($S39+INDEX('Մոդելներ և պարտադիր վճարներ'!$D$67:$D$71,IFERROR(MATCH($S39,'Մոդելներ և պարտադիր վճարներ'!$F$67:$F$71,1)+1,1))+INDEX('Մոդելներ և պարտադիր վճարներ'!$E$67:$E$71,IFERROR(MATCH($S39,'Մոդելներ և պարտադիր վճարներ'!$F$67:$F$71,1)+1,1)))*'Մոդելներ և պարտադիր վճարներ'!$C$59)</f>
        <v>407733.33333333331</v>
      </c>
      <c r="Y39" s="46">
        <f>IF(COUNTIFS('Մոդելներ և պարտադիր վճարներ'!$B$35:$B$37,$D39,'Մոդելներ և պարտադիր վճարներ'!$C$35:$C$37,"ԱՁ")&gt;0,$J39,($T39+INDEX('Մոդելներ և պարտադիր վճարներ'!$D$67:$D$71,IFERROR(MATCH($T39,'Մոդելներ և պարտադիր վճարներ'!$F$67:$F$71,1)+1,1))+INDEX('Մոդելներ և պարտադիր վճարներ'!$E$67:$E$71,IFERROR(MATCH($T39,'Մոդելներ և պարտադիր վճարներ'!$F$67:$F$71,1)+1,1)))*'Մոդելներ և պարտադիր վճարներ'!$C$59)</f>
        <v>467733.33333333331</v>
      </c>
      <c r="Z39" s="46">
        <f>IF(COUNTIFS('Մոդելներ և պարտադիր վճարներ'!$B$35:$B$37,$D39,'Մոդելներ և պարտադիր վճարներ'!$C$35:$C$37,"ԱՁ")&gt;0,$J39,($U39+INDEX('Մոդելներ և պարտադիր վճարներ'!$D$67:$D$71,IFERROR(MATCH($U39,'Մոդելներ և պարտադիր վճարներ'!$F$67:$F$71,1)+1,1))+INDEX('Մոդելներ և պարտադիր վճարներ'!$E$67:$E$71,IFERROR(MATCH($U39,'Մոդելներ և պարտադիր վճարներ'!$F$67:$F$71,1)+1,1)))*'Մոդելներ և պարտադիր վճարներ'!$C$59)</f>
        <v>515733.33333333331</v>
      </c>
      <c r="AA39" s="47">
        <f>IF(COUNTIFS('Մոդելներ և պարտադիր վճարներ'!$B$35:$B$37,$D39,'Մոդելներ և պարտադիր վճարներ'!$C$35:$C$37,"ԱՁ")&gt;0,$J39,($V39+INDEX('Մոդելներ և պարտադիր վճարներ'!$D$67:$D$71,IFERROR(MATCH($V39,'Մոդելներ և պարտադիր վճարներ'!$F$67:$F$71,1)+1,1))+INDEX('Մոդելներ և պարտադիր վճարներ'!$E$67:$E$71,IFERROR(MATCH($V39,'Մոդելներ և պարտադիր վճարներ'!$F$67:$F$71,1)+1,1)))*'Մոդելներ և պարտադիր վճարներ'!$C$59)</f>
        <v>555733.33333333326</v>
      </c>
      <c r="AB39" s="46">
        <f>IF(COUNTIFS('Մոդելներ և պարտադիր վճարներ'!$B$35:$B$37,$D39,'Մոդելներ և պարտադիր վճարներ'!$C$35:$C$37,"ԱՁ")&gt;0,$J39,($W39+INDEX('Մոդելներ և պարտադիր վճարներ'!$D$67:$D$71,IFERROR(MATCH($W39,'Մոդելներ և պարտադիր վճարներ'!$F$67:$F$71,1)+1,1))+INDEX('Մոդելներ և պարտադիր վճարներ'!$E$67:$E$71,IFERROR(MATCH($W39,'Մոդելներ և պարտադիր վճարներ'!$F$67:$F$71,1)+1,1)))*'Մոդելներ և պարտադիր վճարներ'!$C$59)</f>
        <v>615733.33333333326</v>
      </c>
      <c r="AC39" s="51" t="str">
        <f>IF(COUNTIFS('Մոդելներ և պարտադիր վճարներ'!$B$35:$B$37,$D39,'Մոդելներ և պարտադիր վճարներ'!$C$35:$C$37,"ԱՁ")&gt;0,"Աստիճաններ չեն կիրառվում — հաշիվ-ապրանքագիր",IF(COUNTIFS('Մոդելներ և պարտադիր վճարներ'!$B$35:$B$37,$D39,'Մոդելներ և պարտադիր վճարներ'!$C$35:$C$37,"D2D")&gt;0,"Աստիճաններ չեն կիրառվում — տես D2D բաժինը","Ֆիքս × (1 + աստիճանի %)"))</f>
        <v>Ֆիքս × (1 + աստիճանի %)</v>
      </c>
      <c r="AD39" s="52" t="s">
        <v>103</v>
      </c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</row>
    <row r="40" spans="1:48" ht="30" customHeight="1" x14ac:dyDescent="0.25">
      <c r="A40" s="16"/>
      <c r="B40" s="53" t="s">
        <v>60</v>
      </c>
      <c r="C40" s="53" t="s">
        <v>60</v>
      </c>
      <c r="D40" s="54" t="s">
        <v>140</v>
      </c>
      <c r="E40" s="55">
        <v>1</v>
      </c>
      <c r="F40" s="56">
        <v>1</v>
      </c>
      <c r="G40" s="56">
        <v>0</v>
      </c>
      <c r="H40" s="56">
        <f>$F40-$G40</f>
        <v>1</v>
      </c>
      <c r="I40" s="57" t="s">
        <v>76</v>
      </c>
      <c r="J40" s="45">
        <v>150000</v>
      </c>
      <c r="K40" s="46">
        <f>IF(COUNTIFS('Մոդելներ և պարտադիր վճարներ'!$B$35:$B$37,$D40,'Մոդելներ և պարտադիր վճարներ'!$C$35:$C$37,"ԱՁ")&gt;0,0,$O40*'Մոդելներ և պարտադիր վճարներ'!$C$57)</f>
        <v>41546.666666666664</v>
      </c>
      <c r="L40" s="46">
        <f>IF(COUNTIFS('Մոդելներ և պարտադիր վճարներ'!$B$35:$B$37,$D40,'Մոդելներ և պարտադիր վճարներ'!$C$35:$C$37,"ԱՁ")&gt;0,0,$O40*'Մոդելներ և պարտադիր վճարներ'!$C$58)</f>
        <v>10386.666666666666</v>
      </c>
      <c r="M40" s="46">
        <f>IF(COUNTIFS('Մոդելներ և պարտադիր վճարներ'!$B$35:$B$37,$D40,'Մոդելներ և պարտադիր վճարներ'!$C$35:$C$37,"ԱՁ")&gt;0,0,INDEX('Մոդելներ և պարտադիր վճարներ'!$D$67:$D$71,IFERROR(MATCH(IFERROR(INDEX('Մոդելներ և պարտադիր վճարներ'!$D$35:$D$37,MATCH($D40,'Մոդելներ և պարտադիր վճարներ'!$B$35:$B$37,0)),$J40*(1+'Մոդելներ և պարտադիր վճարներ'!$C$60)),'Մոդելներ և պարտադիր վճարներ'!$F$67:$F$71,1)+1,1)))</f>
        <v>1000</v>
      </c>
      <c r="N40" s="46">
        <f>IF(COUNTIFS('Մոդելներ և պարտադիր վճարներ'!$B$35:$B$37,$D40,'Մոդելներ և պարտադիր վճարներ'!$C$35:$C$37,"ԱՁ")&gt;0,0,INDEX('Մոդելներ և պարտադիր վճարներ'!$E$67:$E$71,IFERROR(MATCH(IFERROR(INDEX('Մոդելներ և պարտադիր վճարներ'!$D$35:$D$37,MATCH($D40,'Մոդելներ և պարտադիր վճարներ'!$B$35:$B$37,0)),$J40*(1+'Մոդելներ և պարտադիր վճարներ'!$C$60)),'Մոդելներ և պարտադիր վճարներ'!$F$67:$F$71,1)+1,1)))</f>
        <v>4800</v>
      </c>
      <c r="O40" s="47">
        <f>IF(COUNTIFS('Մոդելներ և պարտադիր վճարներ'!$B$35:$B$37,$D40,'Մոդելներ և պարտադիր վճարներ'!$C$35:$C$37,"ԱՁ")&gt;0,$J40,($J40+$M40+$N40)*'Մոդելներ և պարտադիր վճարներ'!$C$59)</f>
        <v>207733.33333333331</v>
      </c>
      <c r="P40" s="58">
        <f>F40*$J40</f>
        <v>150000</v>
      </c>
      <c r="Q40" s="49">
        <f>O40*F40</f>
        <v>207733.33333333331</v>
      </c>
      <c r="R40" s="50" t="str">
        <f>IF(COUNTIFS('Մոդելներ և պարտադիր վճարներ'!$B$35:$B$37,$D40,'Մոդելներ և պարտադիր վճարներ'!$C$35:$C$37,"ԱՁ")&gt;0,"Գ. ԱՁ",IF(COUNTIFS('Մոդելներ և պարտադիր վճարներ'!$B$35:$B$37,$D40,'Մոդելներ և պարտադիր վճարներ'!$C$35:$C$37,"D2D")&gt;0,"Բ. D2D","Ա. Ֆիքս + KPI բոնուս"))</f>
        <v>Ա. Ֆիքս + KPI բոնուս</v>
      </c>
      <c r="S40" s="46">
        <f>IF(COUNTIFS('Մոդելներ և պարտադիր վճարներ'!$B$35:$B$37,$D40,'Մոդելներ և պարտադիր վճարներ'!$C$35:$C$37,"ԱՁ")&gt;0,$J40,IF(COUNTIFS('Մոդելներ և պարտադիր վճարներ'!$B$35:$B$37,$D40,'Մոդելներ և պարտադիր վճարներ'!$C$35:$C$37,"D2D")&gt;0,'Մոդելներ և պարտադիր վճարներ'!$G$26,$J40*(1+'Մոդելներ և պարտադիր վճարներ'!$D$7)))</f>
        <v>150000</v>
      </c>
      <c r="T40" s="46">
        <f>IF(COUNTIFS('Մոդելներ և պարտադիր վճարներ'!$B$35:$B$37,$D40,'Մոդելներ և պարտադիր վճարներ'!$C$35:$C$37,"ԱՁ")&gt;0,$J40,IF(COUNTIFS('Մոդելներ և պարտադիր վճարներ'!$B$35:$B$37,$D40,'Մոդելներ և պարտադիր վճարներ'!$C$35:$C$37,"D2D")&gt;0,'Մոդելներ և պարտադիր վճարներ'!$G$27,$J40*(1+'Մոդելներ և պարտադիր վճարներ'!$D$8)))</f>
        <v>172500</v>
      </c>
      <c r="U40" s="46">
        <f>IF(COUNTIFS('Մոդելներ և պարտադիր վճարներ'!$B$35:$B$37,$D40,'Մոդելներ և պարտադիր վճարներ'!$C$35:$C$37,"ԱՁ")&gt;0,$J40,IF(COUNTIFS('Մոդելներ և պարտադիր վճարներ'!$B$35:$B$37,$D40,'Մոդելներ և պարտադիր վճարներ'!$C$35:$C$37,"D2D")&gt;0,'Մոդելներ և պարտադիր վճարներ'!$G$28,$J40*(1+'Մոդելներ և պարտադիր վճարներ'!$D$9)))</f>
        <v>187500</v>
      </c>
      <c r="V40" s="47">
        <f>IF(COUNTIFS('Մոդելներ և պարտադիր վճարներ'!$B$35:$B$37,$D40,'Մոդելներ և պարտադիր վճարներ'!$C$35:$C$37,"ԱՁ")&gt;0,$J40,IF(COUNTIFS('Մոդելներ և պարտադիր վճարներ'!$B$35:$B$37,$D40,'Մոդելներ և պարտադիր վճարներ'!$C$35:$C$37,"D2D")&gt;0,'Մոդելներ և պարտադիր վճարներ'!$G$29,$J40*(1+'Մոդելներ և պարտադիր վճարներ'!$D$10)))</f>
        <v>202500</v>
      </c>
      <c r="W40" s="46">
        <f>IF(COUNTIFS('Մոդելներ և պարտադիր վճարներ'!$B$35:$B$37,$D40,'Մոդելներ և պարտադիր վճարներ'!$C$35:$C$37,"ԱՁ")&gt;0,$J40,IF(COUNTIFS('Մոդելներ և պարտադիր վճարներ'!$B$35:$B$37,$D40,'Մոդելներ և պարտադիր վճարներ'!$C$35:$C$37,"D2D")&gt;0,'Մոդելներ և պարտադիր վճարներ'!$G$30,$J40*(1+'Մոդելներ և պարտադիր վճարներ'!$D$11)))</f>
        <v>225000</v>
      </c>
      <c r="X40" s="46">
        <f>IF(COUNTIFS('Մոդելներ և պարտադիր վճարներ'!$B$35:$B$37,$D40,'Մոդելներ և պարտադիր վճարներ'!$C$35:$C$37,"ԱՁ")&gt;0,$J40,($S40+INDEX('Մոդելներ և պարտադիր վճարներ'!$D$67:$D$71,IFERROR(MATCH($S40,'Մոդելներ և պարտադիր վճարներ'!$F$67:$F$71,1)+1,1))+INDEX('Մոդելներ և պարտադիր վճարներ'!$E$67:$E$71,IFERROR(MATCH($S40,'Մոդելներ և պարտադիր վճարներ'!$F$67:$F$71,1)+1,1)))*'Մոդելներ և պարտադիր վճարներ'!$C$59)</f>
        <v>207733.33333333331</v>
      </c>
      <c r="Y40" s="46">
        <f>IF(COUNTIFS('Մոդելներ և պարտադիր վճարներ'!$B$35:$B$37,$D40,'Մոդելներ և պարտադիր վճարներ'!$C$35:$C$37,"ԱՁ")&gt;0,$J40,($T40+INDEX('Մոդելներ և պարտադիր վճարներ'!$D$67:$D$71,IFERROR(MATCH($T40,'Մոդելներ և պարտադիր վճարներ'!$F$67:$F$71,1)+1,1))+INDEX('Մոդելներ և պարտադիր վճարներ'!$E$67:$E$71,IFERROR(MATCH($T40,'Մոդելներ և պարտադիր վճարներ'!$F$67:$F$71,1)+1,1)))*'Մոդելներ և պարտադիր վճարներ'!$C$59)</f>
        <v>237733.33333333331</v>
      </c>
      <c r="Z40" s="46">
        <f>IF(COUNTIFS('Մոդելներ և պարտադիր վճարներ'!$B$35:$B$37,$D40,'Մոդելներ և պարտադիր վճարներ'!$C$35:$C$37,"ԱՁ")&gt;0,$J40,($U40+INDEX('Մոդելներ և պարտադիր վճարներ'!$D$67:$D$71,IFERROR(MATCH($U40,'Մոդելներ և պարտադիր վճարներ'!$F$67:$F$71,1)+1,1))+INDEX('Մոդելներ և պարտադիր վճարներ'!$E$67:$E$71,IFERROR(MATCH($U40,'Մոդելներ և պարտադիր վճարներ'!$F$67:$F$71,1)+1,1)))*'Մոդելներ և պարտադիր վճարներ'!$C$59)</f>
        <v>257733.33333333331</v>
      </c>
      <c r="AA40" s="47">
        <f>IF(COUNTIFS('Մոդելներ և պարտադիր վճարներ'!$B$35:$B$37,$D40,'Մոդելներ և պարտադիր վճարներ'!$C$35:$C$37,"ԱՁ")&gt;0,$J40,($V40+INDEX('Մոդելներ և պարտադիր վճարներ'!$D$67:$D$71,IFERROR(MATCH($V40,'Մոդելներ և պարտադիր վճարներ'!$F$67:$F$71,1)+1,1))+INDEX('Մոդելներ և պարտադիր վճարներ'!$E$67:$E$71,IFERROR(MATCH($V40,'Մոդելներ և պարտադիր վճարներ'!$F$67:$F$71,1)+1,1)))*'Մոդելներ և պարտադիր վճարներ'!$C$59)</f>
        <v>277733.33333333331</v>
      </c>
      <c r="AB40" s="46">
        <f>IF(COUNTIFS('Մոդելներ և պարտադիր վճարներ'!$B$35:$B$37,$D40,'Մոդելներ և պարտադիր վճարներ'!$C$35:$C$37,"ԱՁ")&gt;0,$J40,($W40+INDEX('Մոդելներ և պարտադիր վճարներ'!$D$67:$D$71,IFERROR(MATCH($W40,'Մոդելներ և պարտադիր վճարներ'!$F$67:$F$71,1)+1,1))+INDEX('Մոդելներ և պարտադիր վճարներ'!$E$67:$E$71,IFERROR(MATCH($W40,'Մոդելներ և պարտադիր վճարներ'!$F$67:$F$71,1)+1,1)))*'Մոդելներ և պարտադիր վճարներ'!$C$59)</f>
        <v>307733.33333333331</v>
      </c>
      <c r="AC40" s="51" t="str">
        <f>IF(COUNTIFS('Մոդելներ և պարտադիր վճարներ'!$B$35:$B$37,$D40,'Մոդելներ և պարտադիր վճարներ'!$C$35:$C$37,"ԱՁ")&gt;0,"Աստիճաններ չեն կիրառվում — հաշիվ-ապրանքագիր",IF(COUNTIFS('Մոդելներ և պարտադիր վճարներ'!$B$35:$B$37,$D40,'Մոդելներ և պարտադիր վճարներ'!$C$35:$C$37,"D2D")&gt;0,"Աստիճաններ չեն կիրառվում — տես D2D բաժինը","Ֆիքս × (1 + աստիճանի %)"))</f>
        <v>Ֆիքս × (1 + աստիճանի %)</v>
      </c>
      <c r="AD40" s="52" t="s">
        <v>141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</row>
    <row r="41" spans="1:48" ht="30" customHeight="1" x14ac:dyDescent="0.25">
      <c r="A41" s="16"/>
      <c r="B41" s="53" t="s">
        <v>60</v>
      </c>
      <c r="C41" s="53" t="s">
        <v>60</v>
      </c>
      <c r="D41" s="54" t="s">
        <v>142</v>
      </c>
      <c r="E41" s="55">
        <v>1</v>
      </c>
      <c r="F41" s="56">
        <v>1</v>
      </c>
      <c r="G41" s="56">
        <v>0</v>
      </c>
      <c r="H41" s="56">
        <f>$F41-$G41</f>
        <v>1</v>
      </c>
      <c r="I41" s="57" t="s">
        <v>75</v>
      </c>
      <c r="J41" s="45">
        <v>150000</v>
      </c>
      <c r="K41" s="46">
        <f>IF(COUNTIFS('Մոդելներ և պարտադիր վճարներ'!$B$35:$B$37,$D41,'Մոդելներ և պարտադիր վճարներ'!$C$35:$C$37,"ԱՁ")&gt;0,0,$O41*'Մոդելներ և պարտադիր վճարներ'!$C$57)</f>
        <v>41546.666666666664</v>
      </c>
      <c r="L41" s="46">
        <f>IF(COUNTIFS('Մոդելներ և պարտադիր վճարներ'!$B$35:$B$37,$D41,'Մոդելներ և պարտադիր վճարներ'!$C$35:$C$37,"ԱՁ")&gt;0,0,$O41*'Մոդելներ և պարտադիր վճարներ'!$C$58)</f>
        <v>10386.666666666666</v>
      </c>
      <c r="M41" s="46">
        <f>IF(COUNTIFS('Մոդելներ և պարտադիր վճարներ'!$B$35:$B$37,$D41,'Մոդելներ և պարտադիր վճարներ'!$C$35:$C$37,"ԱՁ")&gt;0,0,INDEX('Մոդելներ և պարտադիր վճարներ'!$D$67:$D$71,IFERROR(MATCH(IFERROR(INDEX('Մոդելներ և պարտադիր վճարներ'!$D$35:$D$37,MATCH($D41,'Մոդելներ և պարտադիր վճարներ'!$B$35:$B$37,0)),$J41*(1+'Մոդելներ և պարտադիր վճարներ'!$C$60)),'Մոդելներ և պարտադիր վճարներ'!$F$67:$F$71,1)+1,1)))</f>
        <v>1000</v>
      </c>
      <c r="N41" s="46">
        <f>IF(COUNTIFS('Մոդելներ և պարտադիր վճարներ'!$B$35:$B$37,$D41,'Մոդելներ և պարտադիր վճարներ'!$C$35:$C$37,"ԱՁ")&gt;0,0,INDEX('Մոդելներ և պարտադիր վճարներ'!$E$67:$E$71,IFERROR(MATCH(IFERROR(INDEX('Մոդելներ և պարտադիր վճարներ'!$D$35:$D$37,MATCH($D41,'Մոդելներ և պարտադիր վճարներ'!$B$35:$B$37,0)),$J41*(1+'Մոդելներ և պարտադիր վճարներ'!$C$60)),'Մոդելներ և պարտադիր վճարներ'!$F$67:$F$71,1)+1,1)))</f>
        <v>4800</v>
      </c>
      <c r="O41" s="47">
        <f>IF(COUNTIFS('Մոդելներ և պարտադիր վճարներ'!$B$35:$B$37,$D41,'Մոդելներ և պարտադիր վճարներ'!$C$35:$C$37,"ԱՁ")&gt;0,$J41,($J41+$M41+$N41)*'Մոդելներ և պարտադիր վճարներ'!$C$59)</f>
        <v>207733.33333333331</v>
      </c>
      <c r="P41" s="58">
        <f>F41*$J41</f>
        <v>150000</v>
      </c>
      <c r="Q41" s="49">
        <f>O41*F41</f>
        <v>207733.33333333331</v>
      </c>
      <c r="R41" s="50" t="str">
        <f>IF(COUNTIFS('Մոդելներ և պարտադիր վճարներ'!$B$35:$B$37,$D41,'Մոդելներ և պարտադիր վճարներ'!$C$35:$C$37,"ԱՁ")&gt;0,"Գ. ԱՁ",IF(COUNTIFS('Մոդելներ և պարտադիր վճարներ'!$B$35:$B$37,$D41,'Մոդելներ և պարտադիր վճարներ'!$C$35:$C$37,"D2D")&gt;0,"Բ. D2D","Ա. Ֆիքս + KPI բոնուս"))</f>
        <v>Ա. Ֆիքս + KPI բոնուս</v>
      </c>
      <c r="S41" s="46">
        <f>IF(COUNTIFS('Մոդելներ և պարտադիր վճարներ'!$B$35:$B$37,$D41,'Մոդելներ և պարտադիր վճարներ'!$C$35:$C$37,"ԱՁ")&gt;0,$J41,IF(COUNTIFS('Մոդելներ և պարտադիր վճարներ'!$B$35:$B$37,$D41,'Մոդելներ և պարտադիր վճարներ'!$C$35:$C$37,"D2D")&gt;0,'Մոդելներ և պարտադիր վճարներ'!$G$26,$J41*(1+'Մոդելներ և պարտադիր վճարներ'!$D$7)))</f>
        <v>150000</v>
      </c>
      <c r="T41" s="46">
        <f>IF(COUNTIFS('Մոդելներ և պարտադիր վճարներ'!$B$35:$B$37,$D41,'Մոդելներ և պարտադիր վճարներ'!$C$35:$C$37,"ԱՁ")&gt;0,$J41,IF(COUNTIFS('Մոդելներ և պարտադիր վճարներ'!$B$35:$B$37,$D41,'Մոդելներ և պարտադիր վճարներ'!$C$35:$C$37,"D2D")&gt;0,'Մոդելներ և պարտադիր վճարներ'!$G$27,$J41*(1+'Մոդելներ և պարտադիր վճարներ'!$D$8)))</f>
        <v>172500</v>
      </c>
      <c r="U41" s="46">
        <f>IF(COUNTIFS('Մոդելներ և պարտադիր վճարներ'!$B$35:$B$37,$D41,'Մոդելներ և պարտադիր վճարներ'!$C$35:$C$37,"ԱՁ")&gt;0,$J41,IF(COUNTIFS('Մոդելներ և պարտադիր վճարներ'!$B$35:$B$37,$D41,'Մոդելներ և պարտադիր վճարներ'!$C$35:$C$37,"D2D")&gt;0,'Մոդելներ և պարտադիր վճարներ'!$G$28,$J41*(1+'Մոդելներ և պարտադիր վճարներ'!$D$9)))</f>
        <v>187500</v>
      </c>
      <c r="V41" s="47">
        <f>IF(COUNTIFS('Մոդելներ և պարտադիր վճարներ'!$B$35:$B$37,$D41,'Մոդելներ և պարտադիր վճարներ'!$C$35:$C$37,"ԱՁ")&gt;0,$J41,IF(COUNTIFS('Մոդելներ և պարտադիր վճարներ'!$B$35:$B$37,$D41,'Մոդելներ և պարտադիր վճարներ'!$C$35:$C$37,"D2D")&gt;0,'Մոդելներ և պարտադիր վճարներ'!$G$29,$J41*(1+'Մոդելներ և պարտադիր վճարներ'!$D$10)))</f>
        <v>202500</v>
      </c>
      <c r="W41" s="46">
        <f>IF(COUNTIFS('Մոդելներ և պարտադիր վճարներ'!$B$35:$B$37,$D41,'Մոդելներ և պարտադիր վճարներ'!$C$35:$C$37,"ԱՁ")&gt;0,$J41,IF(COUNTIFS('Մոդելներ և պարտադիր վճարներ'!$B$35:$B$37,$D41,'Մոդելներ և պարտադիր վճարներ'!$C$35:$C$37,"D2D")&gt;0,'Մոդելներ և պարտադիր վճարներ'!$G$30,$J41*(1+'Մոդելներ և պարտադիր վճարներ'!$D$11)))</f>
        <v>225000</v>
      </c>
      <c r="X41" s="46">
        <f>IF(COUNTIFS('Մոդելներ և պարտադիր վճարներ'!$B$35:$B$37,$D41,'Մոդելներ և պարտադիր վճարներ'!$C$35:$C$37,"ԱՁ")&gt;0,$J41,($S41+INDEX('Մոդելներ և պարտադիր վճարներ'!$D$67:$D$71,IFERROR(MATCH($S41,'Մոդելներ և պարտադիր վճարներ'!$F$67:$F$71,1)+1,1))+INDEX('Մոդելներ և պարտադիր վճարներ'!$E$67:$E$71,IFERROR(MATCH($S41,'Մոդելներ և պարտադիր վճարներ'!$F$67:$F$71,1)+1,1)))*'Մոդելներ և պարտադիր վճարներ'!$C$59)</f>
        <v>207733.33333333331</v>
      </c>
      <c r="Y41" s="46">
        <f>IF(COUNTIFS('Մոդելներ և պարտադիր վճարներ'!$B$35:$B$37,$D41,'Մոդելներ և պարտադիր վճարներ'!$C$35:$C$37,"ԱՁ")&gt;0,$J41,($T41+INDEX('Մոդելներ և պարտադիր վճարներ'!$D$67:$D$71,IFERROR(MATCH($T41,'Մոդելներ և պարտադիր վճարներ'!$F$67:$F$71,1)+1,1))+INDEX('Մոդելներ և պարտադիր վճարներ'!$E$67:$E$71,IFERROR(MATCH($T41,'Մոդելներ և պարտադիր վճարներ'!$F$67:$F$71,1)+1,1)))*'Մոդելներ և պարտադիր վճարներ'!$C$59)</f>
        <v>237733.33333333331</v>
      </c>
      <c r="Z41" s="46">
        <f>IF(COUNTIFS('Մոդելներ և պարտադիր վճարներ'!$B$35:$B$37,$D41,'Մոդելներ և պարտադիր վճարներ'!$C$35:$C$37,"ԱՁ")&gt;0,$J41,($U41+INDEX('Մոդելներ և պարտադիր վճարներ'!$D$67:$D$71,IFERROR(MATCH($U41,'Մոդելներ և պարտադիր վճարներ'!$F$67:$F$71,1)+1,1))+INDEX('Մոդելներ և պարտադիր վճարներ'!$E$67:$E$71,IFERROR(MATCH($U41,'Մոդելներ և պարտադիր վճարներ'!$F$67:$F$71,1)+1,1)))*'Մոդելներ և պարտադիր վճարներ'!$C$59)</f>
        <v>257733.33333333331</v>
      </c>
      <c r="AA41" s="47">
        <f>IF(COUNTIFS('Մոդելներ և պարտադիր վճարներ'!$B$35:$B$37,$D41,'Մոդելներ և պարտադիր վճարներ'!$C$35:$C$37,"ԱՁ")&gt;0,$J41,($V41+INDEX('Մոդելներ և պարտադիր վճարներ'!$D$67:$D$71,IFERROR(MATCH($V41,'Մոդելներ և պարտադիր վճարներ'!$F$67:$F$71,1)+1,1))+INDEX('Մոդելներ և պարտադիր վճարներ'!$E$67:$E$71,IFERROR(MATCH($V41,'Մոդելներ և պարտադիր վճարներ'!$F$67:$F$71,1)+1,1)))*'Մոդելներ և պարտադիր վճարներ'!$C$59)</f>
        <v>277733.33333333331</v>
      </c>
      <c r="AB41" s="46">
        <f>IF(COUNTIFS('Մոդելներ և պարտադիր վճարներ'!$B$35:$B$37,$D41,'Մոդելներ և պարտադիր վճարներ'!$C$35:$C$37,"ԱՁ")&gt;0,$J41,($W41+INDEX('Մոդելներ և պարտադիր վճարներ'!$D$67:$D$71,IFERROR(MATCH($W41,'Մոդելներ և պարտադիր վճարներ'!$F$67:$F$71,1)+1,1))+INDEX('Մոդելներ և պարտադիր վճարներ'!$E$67:$E$71,IFERROR(MATCH($W41,'Մոդելներ և պարտադիր վճարներ'!$F$67:$F$71,1)+1,1)))*'Մոդելներ և պարտադիր վճարներ'!$C$59)</f>
        <v>307733.33333333331</v>
      </c>
      <c r="AC41" s="51" t="str">
        <f>IF(COUNTIFS('Մոդելներ և պարտադիր վճարներ'!$B$35:$B$37,$D41,'Մոդելներ և պարտադիր վճարներ'!$C$35:$C$37,"ԱՁ")&gt;0,"Աստիճաններ չեն կիրառվում — հաշիվ-ապրանքագիր",IF(COUNTIFS('Մոդելներ և պարտադիր վճարներ'!$B$35:$B$37,$D41,'Մոդելներ և պարտադիր վճարներ'!$C$35:$C$37,"D2D")&gt;0,"Աստիճաններ չեն կիրառվում — տես D2D բաժինը","Ֆիքս × (1 + աստիճանի %)"))</f>
        <v>Ֆիքս × (1 + աստիճանի %)</v>
      </c>
      <c r="AD41" s="52" t="s">
        <v>141</v>
      </c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</row>
    <row r="42" spans="1:48" ht="30" customHeight="1" x14ac:dyDescent="0.25">
      <c r="A42" s="16"/>
      <c r="B42" s="53" t="s">
        <v>60</v>
      </c>
      <c r="C42" s="53" t="s">
        <v>60</v>
      </c>
      <c r="D42" s="54" t="s">
        <v>143</v>
      </c>
      <c r="E42" s="55">
        <v>1</v>
      </c>
      <c r="F42" s="56">
        <v>6</v>
      </c>
      <c r="G42" s="56">
        <v>4</v>
      </c>
      <c r="H42" s="56">
        <f>$F42-$G42</f>
        <v>2</v>
      </c>
      <c r="I42" s="57" t="s">
        <v>75</v>
      </c>
      <c r="J42" s="45">
        <v>120000</v>
      </c>
      <c r="K42" s="46">
        <f>IF(COUNTIFS('Մոդելներ և պարտադիր վճարներ'!$B$35:$B$37,$D42,'Մոդելներ և պարտադիր վճարներ'!$C$35:$C$37,"ԱՁ")&gt;0,0,$O42*'Մոդելներ և պարտադիր վճարներ'!$C$57)</f>
        <v>33546.666666666664</v>
      </c>
      <c r="L42" s="46">
        <f>IF(COUNTIFS('Մոդելներ և պարտադիր վճարներ'!$B$35:$B$37,$D42,'Մոդելներ և պարտադիր վճարներ'!$C$35:$C$37,"ԱՁ")&gt;0,0,$O42*'Մոդելներ և պարտադիր վճարներ'!$C$58)</f>
        <v>8386.6666666666661</v>
      </c>
      <c r="M42" s="46">
        <f>IF(COUNTIFS('Մոդելներ և պարտադիր վճարներ'!$B$35:$B$37,$D42,'Մոդելներ և պարտադիր վճարներ'!$C$35:$C$37,"ԱՁ")&gt;0,0,INDEX('Մոդելներ և պարտադիր վճարներ'!$D$67:$D$71,IFERROR(MATCH(IFERROR(INDEX('Մոդելներ և պարտադիր վճարներ'!$D$35:$D$37,MATCH($D42,'Մոդելներ և պարտադիր վճարներ'!$B$35:$B$37,0)),$J42*(1+'Մոդելներ և պարտադիր վճարներ'!$C$60)),'Մոդելներ և պարտադիր վճարներ'!$F$67:$F$71,1)+1,1)))</f>
        <v>1000</v>
      </c>
      <c r="N42" s="46">
        <f>IF(COUNTIFS('Մոդելներ և պարտադիր վճարներ'!$B$35:$B$37,$D42,'Մոդելներ և պարտադիր վճարներ'!$C$35:$C$37,"ԱՁ")&gt;0,0,INDEX('Մոդելներ և պարտադիր վճարներ'!$E$67:$E$71,IFERROR(MATCH(IFERROR(INDEX('Մոդելներ և պարտադիր վճարներ'!$D$35:$D$37,MATCH($D42,'Մոդելներ և պարտադիր վճարներ'!$B$35:$B$37,0)),$J42*(1+'Մոդելներ և պարտադիր վճարներ'!$C$60)),'Մոդելներ և պարտադիր վճարներ'!$F$67:$F$71,1)+1,1)))</f>
        <v>4800</v>
      </c>
      <c r="O42" s="47">
        <f>IF(COUNTIFS('Մոդելներ և պարտադիր վճարներ'!$B$35:$B$37,$D42,'Մոդելներ և պարտադիր վճարներ'!$C$35:$C$37,"ԱՁ")&gt;0,$J42,($J42+$M42+$N42)*'Մոդելներ և պարտադիր վճարներ'!$C$59)</f>
        <v>167733.33333333331</v>
      </c>
      <c r="P42" s="58">
        <f>F42*$J42</f>
        <v>720000</v>
      </c>
      <c r="Q42" s="49">
        <f>O42*F42</f>
        <v>1006399.9999999999</v>
      </c>
      <c r="R42" s="50" t="str">
        <f>IF(COUNTIFS('Մոդելներ և պարտադիր վճարներ'!$B$35:$B$37,$D42,'Մոդելներ և պարտադիր վճարներ'!$C$35:$C$37,"ԱՁ")&gt;0,"Գ. ԱՁ",IF(COUNTIFS('Մոդելներ և պարտադիր վճարներ'!$B$35:$B$37,$D42,'Մոդելներ և պարտադիր վճարներ'!$C$35:$C$37,"D2D")&gt;0,"Բ. D2D","Ա. Ֆիքս + KPI բոնուս"))</f>
        <v>Ա. Ֆիքս + KPI բոնուս</v>
      </c>
      <c r="S42" s="46">
        <f>IF(COUNTIFS('Մոդելներ և պարտադիր վճարներ'!$B$35:$B$37,$D42,'Մոդելներ և պարտադիր վճարներ'!$C$35:$C$37,"ԱՁ")&gt;0,$J42,IF(COUNTIFS('Մոդելներ և պարտադիր վճարներ'!$B$35:$B$37,$D42,'Մոդելներ և պարտադիր վճարներ'!$C$35:$C$37,"D2D")&gt;0,'Մոդելներ և պարտադիր վճարներ'!$G$26,$J42*(1+'Մոդելներ և պարտադիր վճարներ'!$D$7)))</f>
        <v>120000</v>
      </c>
      <c r="T42" s="46">
        <f>IF(COUNTIFS('Մոդելներ և պարտադիր վճարներ'!$B$35:$B$37,$D42,'Մոդելներ և պարտադիր վճարներ'!$C$35:$C$37,"ԱՁ")&gt;0,$J42,IF(COUNTIFS('Մոդելներ և պարտադիր վճարներ'!$B$35:$B$37,$D42,'Մոդելներ և պարտադիր վճարներ'!$C$35:$C$37,"D2D")&gt;0,'Մոդելներ և պարտադիր վճարներ'!$G$27,$J42*(1+'Մոդելներ և պարտադիր վճարներ'!$D$8)))</f>
        <v>138000</v>
      </c>
      <c r="U42" s="46">
        <f>IF(COUNTIFS('Մոդելներ և պարտադիր վճարներ'!$B$35:$B$37,$D42,'Մոդելներ և պարտադիր վճարներ'!$C$35:$C$37,"ԱՁ")&gt;0,$J42,IF(COUNTIFS('Մոդելներ և պարտադիր վճարներ'!$B$35:$B$37,$D42,'Մոդելներ և պարտադիր վճարներ'!$C$35:$C$37,"D2D")&gt;0,'Մոդելներ և պարտադիր վճարներ'!$G$28,$J42*(1+'Մոդելներ և պարտադիր վճարներ'!$D$9)))</f>
        <v>150000</v>
      </c>
      <c r="V42" s="47">
        <f>IF(COUNTIFS('Մոդելներ և պարտադիր վճարներ'!$B$35:$B$37,$D42,'Մոդելներ և պարտադիր վճարներ'!$C$35:$C$37,"ԱՁ")&gt;0,$J42,IF(COUNTIFS('Մոդելներ և պարտադիր վճարներ'!$B$35:$B$37,$D42,'Մոդելներ և պարտադիր վճարներ'!$C$35:$C$37,"D2D")&gt;0,'Մոդելներ և պարտադիր վճարներ'!$G$29,$J42*(1+'Մոդելներ և պարտադիր վճարներ'!$D$10)))</f>
        <v>162000</v>
      </c>
      <c r="W42" s="46">
        <f>IF(COUNTIFS('Մոդելներ և պարտադիր վճարներ'!$B$35:$B$37,$D42,'Մոդելներ և պարտադիր վճարներ'!$C$35:$C$37,"ԱՁ")&gt;0,$J42,IF(COUNTIFS('Մոդելներ և պարտադիր վճարներ'!$B$35:$B$37,$D42,'Մոդելներ և պարտադիր վճարներ'!$C$35:$C$37,"D2D")&gt;0,'Մոդելներ և պարտադիր վճարներ'!$G$30,$J42*(1+'Մոդելներ և պարտադիր վճարներ'!$D$11)))</f>
        <v>180000</v>
      </c>
      <c r="X42" s="46">
        <f>IF(COUNTIFS('Մոդելներ և պարտադիր վճարներ'!$B$35:$B$37,$D42,'Մոդելներ և պարտադիր վճարներ'!$C$35:$C$37,"ԱՁ")&gt;0,$J42,($S42+INDEX('Մոդելներ և պարտադիր վճարներ'!$D$67:$D$71,IFERROR(MATCH($S42,'Մոդելներ և պարտադիր վճարներ'!$F$67:$F$71,1)+1,1))+INDEX('Մոդելներ և պարտադիր վճարներ'!$E$67:$E$71,IFERROR(MATCH($S42,'Մոդելներ և պարտադիր վճարներ'!$F$67:$F$71,1)+1,1)))*'Մոդելներ և պարտադիր վճարներ'!$C$59)</f>
        <v>161333.33333333331</v>
      </c>
      <c r="Y42" s="46">
        <f>IF(COUNTIFS('Մոդելներ և պարտադիր վճարներ'!$B$35:$B$37,$D42,'Մոդելներ և պարտադիր վճարներ'!$C$35:$C$37,"ԱՁ")&gt;0,$J42,($T42+INDEX('Մոդելներ և պարտադիր վճարներ'!$D$67:$D$71,IFERROR(MATCH($T42,'Մոդելներ և պարտադիր վճարներ'!$F$67:$F$71,1)+1,1))+INDEX('Մոդելներ և պարտադիր վճարներ'!$E$67:$E$71,IFERROR(MATCH($T42,'Մոդելներ և պարտադիր վճարներ'!$F$67:$F$71,1)+1,1)))*'Մոդելներ և պարտադիր վճարներ'!$C$59)</f>
        <v>185333.33333333331</v>
      </c>
      <c r="Z42" s="46">
        <f>IF(COUNTIFS('Մոդելներ և պարտադիր վճարներ'!$B$35:$B$37,$D42,'Մոդելներ և պարտադիր վճարներ'!$C$35:$C$37,"ԱՁ")&gt;0,$J42,($U42+INDEX('Մոդելներ և պարտադիր վճարներ'!$D$67:$D$71,IFERROR(MATCH($U42,'Մոդելներ և պարտադիր վճարներ'!$F$67:$F$71,1)+1,1))+INDEX('Մոդելներ և պարտադիր վճարներ'!$E$67:$E$71,IFERROR(MATCH($U42,'Մոդելներ և պարտադիր վճարներ'!$F$67:$F$71,1)+1,1)))*'Մոդելներ և պարտադիր վճարներ'!$C$59)</f>
        <v>207733.33333333331</v>
      </c>
      <c r="AA42" s="47">
        <f>IF(COUNTIFS('Մոդելներ և պարտադիր վճարներ'!$B$35:$B$37,$D42,'Մոդելներ և պարտադիր վճարներ'!$C$35:$C$37,"ԱՁ")&gt;0,$J42,($V42+INDEX('Մոդելներ և պարտադիր վճարներ'!$D$67:$D$71,IFERROR(MATCH($V42,'Մոդելներ և պարտադիր վճարներ'!$F$67:$F$71,1)+1,1))+INDEX('Մոդելներ և պարտադիր վճարներ'!$E$67:$E$71,IFERROR(MATCH($V42,'Մոդելներ և պարտադիր վճարներ'!$F$67:$F$71,1)+1,1)))*'Մոդելներ և պարտադիր վճարներ'!$C$59)</f>
        <v>223733.33333333331</v>
      </c>
      <c r="AB42" s="46">
        <f>IF(COUNTIFS('Մոդելներ և պարտադիր վճարներ'!$B$35:$B$37,$D42,'Մոդելներ և պարտադիր վճարներ'!$C$35:$C$37,"ԱՁ")&gt;0,$J42,($W42+INDEX('Մոդելներ և պարտադիր վճարներ'!$D$67:$D$71,IFERROR(MATCH($W42,'Մոդելներ և պարտադիր վճարներ'!$F$67:$F$71,1)+1,1))+INDEX('Մոդելներ և պարտադիր վճարներ'!$E$67:$E$71,IFERROR(MATCH($W42,'Մոդելներ և պարտադիր վճարներ'!$F$67:$F$71,1)+1,1)))*'Մոդելներ և պարտադիր վճարներ'!$C$59)</f>
        <v>247733.33333333331</v>
      </c>
      <c r="AC42" s="51" t="str">
        <f>IF(COUNTIFS('Մոդելներ և պարտադիր վճարներ'!$B$35:$B$37,$D42,'Մոդելներ և պարտադիր վճարներ'!$C$35:$C$37,"ԱՁ")&gt;0,"Աստիճաններ չեն կիրառվում — հաշիվ-ապրանքագիր",IF(COUNTIFS('Մոդելներ և պարտադիր վճարներ'!$B$35:$B$37,$D42,'Մոդելներ և պարտադիր վճարներ'!$C$35:$C$37,"D2D")&gt;0,"Աստիճաններ չեն կիրառվում — տես D2D բաժինը","Ֆիքս × (1 + աստիճանի %)"))</f>
        <v>Ֆիքս × (1 + աստիճանի %)</v>
      </c>
      <c r="AD42" s="52" t="s">
        <v>140</v>
      </c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</row>
    <row r="43" spans="1:48" ht="30" customHeight="1" x14ac:dyDescent="0.25">
      <c r="A43" s="16"/>
      <c r="B43" s="130" t="s">
        <v>144</v>
      </c>
      <c r="C43" s="130"/>
      <c r="D43" s="130"/>
      <c r="E43" s="59"/>
      <c r="F43" s="60">
        <f>SUM(F39:F42)</f>
        <v>9</v>
      </c>
      <c r="G43" s="60">
        <f>SUM(G39:G42)</f>
        <v>5</v>
      </c>
      <c r="H43" s="60">
        <f>SUM(H39:H42)</f>
        <v>4</v>
      </c>
      <c r="I43" s="60"/>
      <c r="J43" s="60">
        <f t="shared" ref="J43:Q43" si="12">SUM(J39:J42)</f>
        <v>720000</v>
      </c>
      <c r="K43" s="60">
        <f t="shared" si="12"/>
        <v>199786.66666666666</v>
      </c>
      <c r="L43" s="60">
        <f t="shared" si="12"/>
        <v>49946.666666666664</v>
      </c>
      <c r="M43" s="60">
        <f t="shared" si="12"/>
        <v>4000</v>
      </c>
      <c r="N43" s="60">
        <f t="shared" si="12"/>
        <v>25200</v>
      </c>
      <c r="O43" s="60">
        <f t="shared" si="12"/>
        <v>998933.33333333326</v>
      </c>
      <c r="P43" s="60">
        <f t="shared" si="12"/>
        <v>1320000</v>
      </c>
      <c r="Q43" s="61">
        <f t="shared" si="12"/>
        <v>1837600</v>
      </c>
      <c r="R43" s="62"/>
      <c r="S43" s="60">
        <f>SUMPRODUCT($S$39:$S$42,$F$39:$F$42)</f>
        <v>1320000</v>
      </c>
      <c r="T43" s="60">
        <f>SUMPRODUCT($T$39:$T$42,$F$39:$F$42)</f>
        <v>1518000</v>
      </c>
      <c r="U43" s="60">
        <f>SUMPRODUCT($U$39:$U$42,$F$39:$F$42)</f>
        <v>1650000</v>
      </c>
      <c r="V43" s="60">
        <f>SUMPRODUCT($V$39:$V$42,$F$39:$F$42)</f>
        <v>1782000</v>
      </c>
      <c r="W43" s="60">
        <f>SUMPRODUCT($W$39:$W$42,$F$39:$F$42)</f>
        <v>1980000</v>
      </c>
      <c r="X43" s="60">
        <f>SUMPRODUCT($X$39:$X$42,$F$39:$F$42)</f>
        <v>1791200</v>
      </c>
      <c r="Y43" s="60">
        <f>SUMPRODUCT($Y$39:$Y$42,$F$39:$F$42)</f>
        <v>2055200</v>
      </c>
      <c r="Z43" s="60">
        <f>SUMPRODUCT($Z$39:$Z$42,$F$39:$F$42)</f>
        <v>2277600</v>
      </c>
      <c r="AA43" s="60">
        <f>SUMPRODUCT($AA$39:$AA$42,$F$39:$F$42)</f>
        <v>2453600</v>
      </c>
      <c r="AB43" s="60">
        <f>SUMPRODUCT($AB$39:$AB$42,$F$39:$F$42)</f>
        <v>2717600</v>
      </c>
      <c r="AC43" s="63"/>
      <c r="AD43" s="64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</row>
    <row r="44" spans="1:48" ht="6" customHeight="1" x14ac:dyDescent="0.25">
      <c r="A44" s="16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37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65"/>
      <c r="AD44" s="6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</row>
    <row r="45" spans="1:48" ht="34.5" customHeight="1" x14ac:dyDescent="0.25">
      <c r="A45" s="16"/>
      <c r="B45" s="129" t="s">
        <v>145</v>
      </c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67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</row>
    <row r="46" spans="1:48" ht="30" customHeight="1" x14ac:dyDescent="0.25">
      <c r="A46" s="16"/>
      <c r="B46" s="53" t="s">
        <v>61</v>
      </c>
      <c r="C46" s="53" t="s">
        <v>61</v>
      </c>
      <c r="D46" s="54" t="s">
        <v>146</v>
      </c>
      <c r="E46" s="55">
        <v>1</v>
      </c>
      <c r="F46" s="56">
        <v>1</v>
      </c>
      <c r="G46" s="56">
        <v>1</v>
      </c>
      <c r="H46" s="56">
        <f>$F46-$G46</f>
        <v>0</v>
      </c>
      <c r="I46" s="57" t="s">
        <v>48</v>
      </c>
      <c r="J46" s="45">
        <v>300000</v>
      </c>
      <c r="K46" s="46">
        <f>IF(COUNTIFS('Մոդելներ և պարտադիր վճարներ'!$B$35:$B$37,$D46,'Մոդելներ և պարտադիր վճարներ'!$C$35:$C$37,"ԱՁ")&gt;0,0,$O46*'Մոդելներ և պարտադիր վճարներ'!$C$57)</f>
        <v>83146.666666666672</v>
      </c>
      <c r="L46" s="46">
        <f>IF(COUNTIFS('Մոդելներ և պարտադիր վճարներ'!$B$35:$B$37,$D46,'Մոդելներ և պարտադիր վճարներ'!$C$35:$C$37,"ԱՁ")&gt;0,0,$O46*'Մոդելներ և պարտադիր վճարներ'!$C$58)</f>
        <v>20786.666666666668</v>
      </c>
      <c r="M46" s="46">
        <f>IF(COUNTIFS('Մոդելներ և պարտադիր վճարներ'!$B$35:$B$37,$D46,'Մոդելներ և պարտադիր վճարներ'!$C$35:$C$37,"ԱՁ")&gt;0,0,INDEX('Մոդելներ և պարտադիր վճարներ'!$D$67:$D$71,IFERROR(MATCH(IFERROR(INDEX('Մոդելներ և պարտադիր վճարներ'!$D$35:$D$37,MATCH($D46,'Մոդելներ և պարտադիր վճարներ'!$B$35:$B$37,0)),$J46*(1+'Մոդելներ և պարտադիր վճարներ'!$C$60)),'Մոդելներ և պարտադիր վճարներ'!$F$67:$F$71,1)+1,1)))</f>
        <v>1000</v>
      </c>
      <c r="N46" s="46">
        <f>IF(COUNTIFS('Մոդելներ և պարտադիր վճարներ'!$B$35:$B$37,$D46,'Մոդելներ և պարտադիր վճարներ'!$C$35:$C$37,"ԱՁ")&gt;0,0,INDEX('Մոդելներ և պարտադիր վճարներ'!$E$67:$E$71,IFERROR(MATCH(IFERROR(INDEX('Մոդելներ և պարտադիր վճարներ'!$D$35:$D$37,MATCH($D46,'Մոդելներ և պարտադիր վճարներ'!$B$35:$B$37,0)),$J46*(1+'Մոդելներ և պարտադիր վճարներ'!$C$60)),'Մոդելներ և պարտադիր վճարներ'!$F$67:$F$71,1)+1,1)))</f>
        <v>10800</v>
      </c>
      <c r="O46" s="47">
        <f>IF(COUNTIFS('Մոդելներ և պարտադիր վճարներ'!$B$35:$B$37,$D46,'Մոդելներ և պարտադիր վճարներ'!$C$35:$C$37,"ԱՁ")&gt;0,$J46,($J46+$M46+$N46)*'Մոդելներ և պարտադիր վճարներ'!$C$59)</f>
        <v>415733.33333333331</v>
      </c>
      <c r="P46" s="58">
        <f>F46*$J46</f>
        <v>300000</v>
      </c>
      <c r="Q46" s="49">
        <f>O46*F46</f>
        <v>415733.33333333331</v>
      </c>
      <c r="R46" s="50" t="str">
        <f>IF(COUNTIFS('Մոդելներ և պարտադիր վճարներ'!$B$35:$B$37,$D46,'Մոդելներ և պարտադիր վճարներ'!$C$35:$C$37,"ԱՁ")&gt;0,"Գ. ԱՁ",IF(COUNTIFS('Մոդելներ և պարտադիր վճարներ'!$B$35:$B$37,$D46,'Մոդելներ և պարտադիր վճարներ'!$C$35:$C$37,"D2D")&gt;0,"Բ. D2D","Ա. Ֆիքս + KPI բոնուս"))</f>
        <v>Ա. Ֆիքս + KPI բոնուս</v>
      </c>
      <c r="S46" s="46">
        <f>IF(COUNTIFS('Մոդելներ և պարտադիր վճարներ'!$B$35:$B$37,$D46,'Մոդելներ և պարտադիր վճարներ'!$C$35:$C$37,"ԱՁ")&gt;0,$J46,IF(COUNTIFS('Մոդելներ և պարտադիր վճարներ'!$B$35:$B$37,$D46,'Մոդելներ և պարտադիր վճարներ'!$C$35:$C$37,"D2D")&gt;0,'Մոդելներ և պարտադիր վճարներ'!$G$26,$J46*(1+'Մոդելներ և պարտադիր վճարներ'!$D$7)))</f>
        <v>300000</v>
      </c>
      <c r="T46" s="46">
        <f>IF(COUNTIFS('Մոդելներ և պարտադիր վճարներ'!$B$35:$B$37,$D46,'Մոդելներ և պարտադիր վճարներ'!$C$35:$C$37,"ԱՁ")&gt;0,$J46,IF(COUNTIFS('Մոդելներ և պարտադիր վճարներ'!$B$35:$B$37,$D46,'Մոդելներ և պարտադիր վճարներ'!$C$35:$C$37,"D2D")&gt;0,'Մոդելներ և պարտադիր վճարներ'!$G$27,$J46*(1+'Մոդելներ և պարտադիր վճարներ'!$D$8)))</f>
        <v>345000</v>
      </c>
      <c r="U46" s="46">
        <f>IF(COUNTIFS('Մոդելներ և պարտադիր վճարներ'!$B$35:$B$37,$D46,'Մոդելներ և պարտադիր վճարներ'!$C$35:$C$37,"ԱՁ")&gt;0,$J46,IF(COUNTIFS('Մոդելներ և պարտադիր վճարներ'!$B$35:$B$37,$D46,'Մոդելներ և պարտադիր վճարներ'!$C$35:$C$37,"D2D")&gt;0,'Մոդելներ և պարտադիր վճարներ'!$G$28,$J46*(1+'Մոդելներ և պարտադիր վճարներ'!$D$9)))</f>
        <v>375000</v>
      </c>
      <c r="V46" s="47">
        <f>IF(COUNTIFS('Մոդելներ և պարտադիր վճարներ'!$B$35:$B$37,$D46,'Մոդելներ և պարտադիր վճարներ'!$C$35:$C$37,"ԱՁ")&gt;0,$J46,IF(COUNTIFS('Մոդելներ և պարտադիր վճարներ'!$B$35:$B$37,$D46,'Մոդելներ և պարտադիր վճարներ'!$C$35:$C$37,"D2D")&gt;0,'Մոդելներ և պարտադիր վճարներ'!$G$29,$J46*(1+'Մոդելներ և պարտադիր վճարներ'!$D$10)))</f>
        <v>405000</v>
      </c>
      <c r="W46" s="46">
        <f>IF(COUNTIFS('Մոդելներ և պարտադիր վճարներ'!$B$35:$B$37,$D46,'Մոդելներ և պարտադիր վճարներ'!$C$35:$C$37,"ԱՁ")&gt;0,$J46,IF(COUNTIFS('Մոդելներ և պարտադիր վճարներ'!$B$35:$B$37,$D46,'Մոդելներ և պարտադիր վճարներ'!$C$35:$C$37,"D2D")&gt;0,'Մոդելներ և պարտադիր վճարներ'!$G$30,$J46*(1+'Մոդելներ և պարտադիր վճարներ'!$D$11)))</f>
        <v>450000</v>
      </c>
      <c r="X46" s="46">
        <f>IF(COUNTIFS('Մոդելներ և պարտադիր վճարներ'!$B$35:$B$37,$D46,'Մոդելներ և պարտադիր վճարներ'!$C$35:$C$37,"ԱՁ")&gt;0,$J46,($S46+INDEX('Մոդելներ և պարտադիր վճարներ'!$D$67:$D$71,IFERROR(MATCH($S46,'Մոդելներ և պարտադիր վճարներ'!$F$67:$F$71,1)+1,1))+INDEX('Մոդելներ և պարտադիր վճարներ'!$E$67:$E$71,IFERROR(MATCH($S46,'Մոդելներ և պարտադիր վճարներ'!$F$67:$F$71,1)+1,1)))*'Մոդելներ և պարտադիր վճարներ'!$C$59)</f>
        <v>407733.33333333331</v>
      </c>
      <c r="Y46" s="46">
        <f>IF(COUNTIFS('Մոդելներ և պարտադիր վճարներ'!$B$35:$B$37,$D46,'Մոդելներ և պարտադիր վճարներ'!$C$35:$C$37,"ԱՁ")&gt;0,$J46,($T46+INDEX('Մոդելներ և պարտադիր վճարներ'!$D$67:$D$71,IFERROR(MATCH($T46,'Մոդելներ և պարտադիր վճարներ'!$F$67:$F$71,1)+1,1))+INDEX('Մոդելներ և պարտադիր վճարներ'!$E$67:$E$71,IFERROR(MATCH($T46,'Մոդելներ և պարտադիր վճարներ'!$F$67:$F$71,1)+1,1)))*'Մոդելներ և պարտադիր վճարներ'!$C$59)</f>
        <v>467733.33333333331</v>
      </c>
      <c r="Z46" s="46">
        <f>IF(COUNTIFS('Մոդելներ և պարտադիր վճարներ'!$B$35:$B$37,$D46,'Մոդելներ և պարտադիր վճարներ'!$C$35:$C$37,"ԱՁ")&gt;0,$J46,($U46+INDEX('Մոդելներ և պարտադիր վճարներ'!$D$67:$D$71,IFERROR(MATCH($U46,'Մոդելներ և պարտադիր վճարներ'!$F$67:$F$71,1)+1,1))+INDEX('Մոդելներ և պարտադիր վճարներ'!$E$67:$E$71,IFERROR(MATCH($U46,'Մոդելներ և պարտադիր վճարներ'!$F$67:$F$71,1)+1,1)))*'Մոդելներ և պարտադիր վճարներ'!$C$59)</f>
        <v>515733.33333333331</v>
      </c>
      <c r="AA46" s="47">
        <f>IF(COUNTIFS('Մոդելներ և պարտադիր վճարներ'!$B$35:$B$37,$D46,'Մոդելներ և պարտադիր վճարներ'!$C$35:$C$37,"ԱՁ")&gt;0,$J46,($V46+INDEX('Մոդելներ և պարտադիր վճարներ'!$D$67:$D$71,IFERROR(MATCH($V46,'Մոդելներ և պարտադիր վճարներ'!$F$67:$F$71,1)+1,1))+INDEX('Մոդելներ և պարտադիր վճարներ'!$E$67:$E$71,IFERROR(MATCH($V46,'Մոդելներ և պարտադիր վճարներ'!$F$67:$F$71,1)+1,1)))*'Մոդելներ և պարտադիր վճարներ'!$C$59)</f>
        <v>555733.33333333326</v>
      </c>
      <c r="AB46" s="46">
        <f>IF(COUNTIFS('Մոդելներ և պարտադիր վճարներ'!$B$35:$B$37,$D46,'Մոդելներ և պարտադիր վճարներ'!$C$35:$C$37,"ԱՁ")&gt;0,$J46,($W46+INDEX('Մոդելներ և պարտադիր վճարներ'!$D$67:$D$71,IFERROR(MATCH($W46,'Մոդելներ և պարտադիր վճարներ'!$F$67:$F$71,1)+1,1))+INDEX('Մոդելներ և պարտադիր վճարներ'!$E$67:$E$71,IFERROR(MATCH($W46,'Մոդելներ և պարտադիր վճարներ'!$F$67:$F$71,1)+1,1)))*'Մոդելներ և պարտադիր վճարներ'!$C$59)</f>
        <v>615733.33333333326</v>
      </c>
      <c r="AC46" s="51" t="str">
        <f>IF(COUNTIFS('Մոդելներ և պարտադիր վճարներ'!$B$35:$B$37,$D46,'Մոդելներ և պարտադիր վճարներ'!$C$35:$C$37,"ԱՁ")&gt;0,"Աստիճաններ չեն կիրառվում — հաշիվ-ապրանքագիր",IF(COUNTIFS('Մոդելներ և պարտադիր վճարներ'!$B$35:$B$37,$D46,'Մոդելներ և պարտադիր վճարներ'!$C$35:$C$37,"D2D")&gt;0,"Աստիճաններ չեն կիրառվում — տես D2D բաժինը","Ֆիքս × (1 + աստիճանի %)"))</f>
        <v>Ֆիքս × (1 + աստիճանի %)</v>
      </c>
      <c r="AD46" s="52" t="s">
        <v>103</v>
      </c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</row>
    <row r="47" spans="1:48" ht="30" customHeight="1" x14ac:dyDescent="0.25">
      <c r="A47" s="16"/>
      <c r="B47" s="53" t="s">
        <v>61</v>
      </c>
      <c r="C47" s="53" t="s">
        <v>61</v>
      </c>
      <c r="D47" s="54" t="s">
        <v>147</v>
      </c>
      <c r="E47" s="55">
        <v>1</v>
      </c>
      <c r="F47" s="56">
        <v>1</v>
      </c>
      <c r="G47" s="56">
        <v>0</v>
      </c>
      <c r="H47" s="56">
        <f>$F47-$G47</f>
        <v>1</v>
      </c>
      <c r="I47" s="57" t="s">
        <v>74</v>
      </c>
      <c r="J47" s="45">
        <v>150000</v>
      </c>
      <c r="K47" s="46">
        <f>IF(COUNTIFS('Մոդելներ և պարտադիր վճարներ'!$B$35:$B$37,$D47,'Մոդելներ և պարտադիր վճարներ'!$C$35:$C$37,"ԱՁ")&gt;0,0,$O47*'Մոդելներ և պարտադիր վճարներ'!$C$57)</f>
        <v>41546.666666666664</v>
      </c>
      <c r="L47" s="46">
        <f>IF(COUNTIFS('Մոդելներ և պարտադիր վճարներ'!$B$35:$B$37,$D47,'Մոդելներ և պարտադիր վճարներ'!$C$35:$C$37,"ԱՁ")&gt;0,0,$O47*'Մոդելներ և պարտադիր վճարներ'!$C$58)</f>
        <v>10386.666666666666</v>
      </c>
      <c r="M47" s="46">
        <f>IF(COUNTIFS('Մոդելներ և պարտադիր վճարներ'!$B$35:$B$37,$D47,'Մոդելներ և պարտադիր վճարներ'!$C$35:$C$37,"ԱՁ")&gt;0,0,INDEX('Մոդելներ և պարտադիր վճարներ'!$D$67:$D$71,IFERROR(MATCH(IFERROR(INDEX('Մոդելներ և պարտադիր վճարներ'!$D$35:$D$37,MATCH($D47,'Մոդելներ և պարտադիր վճարներ'!$B$35:$B$37,0)),$J47*(1+'Մոդելներ և պարտադիր վճարներ'!$C$60)),'Մոդելներ և պարտադիր վճարներ'!$F$67:$F$71,1)+1,1)))</f>
        <v>1000</v>
      </c>
      <c r="N47" s="46">
        <f>IF(COUNTIFS('Մոդելներ և պարտադիր վճարներ'!$B$35:$B$37,$D47,'Մոդելներ և պարտադիր վճարներ'!$C$35:$C$37,"ԱՁ")&gt;0,0,INDEX('Մոդելներ և պարտադիր վճարներ'!$E$67:$E$71,IFERROR(MATCH(IFERROR(INDEX('Մոդելներ և պարտադիր վճարներ'!$D$35:$D$37,MATCH($D47,'Մոդելներ և պարտադիր վճարներ'!$B$35:$B$37,0)),$J47*(1+'Մոդելներ և պարտադիր վճարներ'!$C$60)),'Մոդելներ և պարտադիր վճարներ'!$F$67:$F$71,1)+1,1)))</f>
        <v>4800</v>
      </c>
      <c r="O47" s="47">
        <f>IF(COUNTIFS('Մոդելներ և պարտադիր վճարներ'!$B$35:$B$37,$D47,'Մոդելներ և պարտադիր վճարներ'!$C$35:$C$37,"ԱՁ")&gt;0,$J47,($J47+$M47+$N47)*'Մոդելներ և պարտադիր վճարներ'!$C$59)</f>
        <v>207733.33333333331</v>
      </c>
      <c r="P47" s="58">
        <f>F47*$J47</f>
        <v>150000</v>
      </c>
      <c r="Q47" s="49">
        <f>O47*F47</f>
        <v>207733.33333333331</v>
      </c>
      <c r="R47" s="50" t="str">
        <f>IF(COUNTIFS('Մոդելներ և պարտադիր վճարներ'!$B$35:$B$37,$D47,'Մոդելներ և պարտադիր վճարներ'!$C$35:$C$37,"ԱՁ")&gt;0,"Գ. ԱՁ",IF(COUNTIFS('Մոդելներ և պարտադիր վճարներ'!$B$35:$B$37,$D47,'Մոդելներ և պարտադիր վճարներ'!$C$35:$C$37,"D2D")&gt;0,"Բ. D2D","Ա. Ֆիքս + KPI բոնուս"))</f>
        <v>Ա. Ֆիքս + KPI բոնուս</v>
      </c>
      <c r="S47" s="46">
        <f>IF(COUNTIFS('Մոդելներ և պարտադիր վճարներ'!$B$35:$B$37,$D47,'Մոդելներ և պարտադիր վճարներ'!$C$35:$C$37,"ԱՁ")&gt;0,$J47,IF(COUNTIFS('Մոդելներ և պարտադիր վճարներ'!$B$35:$B$37,$D47,'Մոդելներ և պարտադիր վճարներ'!$C$35:$C$37,"D2D")&gt;0,'Մոդելներ և պարտադիր վճարներ'!$G$26,$J47*(1+'Մոդելներ և պարտադիր վճարներ'!$D$7)))</f>
        <v>150000</v>
      </c>
      <c r="T47" s="46">
        <f>IF(COUNTIFS('Մոդելներ և պարտադիր վճարներ'!$B$35:$B$37,$D47,'Մոդելներ և պարտադիր վճարներ'!$C$35:$C$37,"ԱՁ")&gt;0,$J47,IF(COUNTIFS('Մոդելներ և պարտադիր վճարներ'!$B$35:$B$37,$D47,'Մոդելներ և պարտադիր վճարներ'!$C$35:$C$37,"D2D")&gt;0,'Մոդելներ և պարտադիր վճարներ'!$G$27,$J47*(1+'Մոդելներ և պարտադիր վճարներ'!$D$8)))</f>
        <v>172500</v>
      </c>
      <c r="U47" s="46">
        <f>IF(COUNTIFS('Մոդելներ և պարտադիր վճարներ'!$B$35:$B$37,$D47,'Մոդելներ և պարտադիր վճարներ'!$C$35:$C$37,"ԱՁ")&gt;0,$J47,IF(COUNTIFS('Մոդելներ և պարտադիր վճարներ'!$B$35:$B$37,$D47,'Մոդելներ և պարտադիր վճարներ'!$C$35:$C$37,"D2D")&gt;0,'Մոդելներ և պարտադիր վճարներ'!$G$28,$J47*(1+'Մոդելներ և պարտադիր վճարներ'!$D$9)))</f>
        <v>187500</v>
      </c>
      <c r="V47" s="47">
        <f>IF(COUNTIFS('Մոդելներ և պարտադիր վճարներ'!$B$35:$B$37,$D47,'Մոդելներ և պարտադիր վճարներ'!$C$35:$C$37,"ԱՁ")&gt;0,$J47,IF(COUNTIFS('Մոդելներ և պարտադիր վճարներ'!$B$35:$B$37,$D47,'Մոդելներ և պարտադիր վճարներ'!$C$35:$C$37,"D2D")&gt;0,'Մոդելներ և պարտադիր վճարներ'!$G$29,$J47*(1+'Մոդելներ և պարտադիր վճարներ'!$D$10)))</f>
        <v>202500</v>
      </c>
      <c r="W47" s="46">
        <f>IF(COUNTIFS('Մոդելներ և պարտադիր վճարներ'!$B$35:$B$37,$D47,'Մոդելներ և պարտադիր վճարներ'!$C$35:$C$37,"ԱՁ")&gt;0,$J47,IF(COUNTIFS('Մոդելներ և պարտադիր վճարներ'!$B$35:$B$37,$D47,'Մոդելներ և պարտադիր վճարներ'!$C$35:$C$37,"D2D")&gt;0,'Մոդելներ և պարտադիր վճարներ'!$G$30,$J47*(1+'Մոդելներ և պարտադիր վճարներ'!$D$11)))</f>
        <v>225000</v>
      </c>
      <c r="X47" s="46">
        <f>IF(COUNTIFS('Մոդելներ և պարտադիր վճարներ'!$B$35:$B$37,$D47,'Մոդելներ և պարտադիր վճարներ'!$C$35:$C$37,"ԱՁ")&gt;0,$J47,($S47+INDEX('Մոդելներ և պարտադիր վճարներ'!$D$67:$D$71,IFERROR(MATCH($S47,'Մոդելներ և պարտադիր վճարներ'!$F$67:$F$71,1)+1,1))+INDEX('Մոդելներ և պարտադիր վճարներ'!$E$67:$E$71,IFERROR(MATCH($S47,'Մոդելներ և պարտադիր վճարներ'!$F$67:$F$71,1)+1,1)))*'Մոդելներ և պարտադիր վճարներ'!$C$59)</f>
        <v>207733.33333333331</v>
      </c>
      <c r="Y47" s="46">
        <f>IF(COUNTIFS('Մոդելներ և պարտադիր վճարներ'!$B$35:$B$37,$D47,'Մոդելներ և պարտադիր վճարներ'!$C$35:$C$37,"ԱՁ")&gt;0,$J47,($T47+INDEX('Մոդելներ և պարտադիր վճարներ'!$D$67:$D$71,IFERROR(MATCH($T47,'Մոդելներ և պարտադիր վճարներ'!$F$67:$F$71,1)+1,1))+INDEX('Մոդելներ և պարտադիր վճարներ'!$E$67:$E$71,IFERROR(MATCH($T47,'Մոդելներ և պարտադիր վճարներ'!$F$67:$F$71,1)+1,1)))*'Մոդելներ և պարտադիր վճարներ'!$C$59)</f>
        <v>237733.33333333331</v>
      </c>
      <c r="Z47" s="46">
        <f>IF(COUNTIFS('Մոդելներ և պարտադիր վճարներ'!$B$35:$B$37,$D47,'Մոդելներ և պարտադիր վճարներ'!$C$35:$C$37,"ԱՁ")&gt;0,$J47,($U47+INDEX('Մոդելներ և պարտադիր վճարներ'!$D$67:$D$71,IFERROR(MATCH($U47,'Մոդելներ և պարտադիր վճարներ'!$F$67:$F$71,1)+1,1))+INDEX('Մոդելներ և պարտադիր վճարներ'!$E$67:$E$71,IFERROR(MATCH($U47,'Մոդելներ և պարտադիր վճարներ'!$F$67:$F$71,1)+1,1)))*'Մոդելներ և պարտադիր վճարներ'!$C$59)</f>
        <v>257733.33333333331</v>
      </c>
      <c r="AA47" s="47">
        <f>IF(COUNTIFS('Մոդելներ և պարտադիր վճարներ'!$B$35:$B$37,$D47,'Մոդելներ և պարտադիր վճարներ'!$C$35:$C$37,"ԱՁ")&gt;0,$J47,($V47+INDEX('Մոդելներ և պարտադիր վճարներ'!$D$67:$D$71,IFERROR(MATCH($V47,'Մոդելներ և պարտադիր վճարներ'!$F$67:$F$71,1)+1,1))+INDEX('Մոդելներ և պարտադիր վճարներ'!$E$67:$E$71,IFERROR(MATCH($V47,'Մոդելներ և պարտադիր վճարներ'!$F$67:$F$71,1)+1,1)))*'Մոդելներ և պարտադիր վճարներ'!$C$59)</f>
        <v>277733.33333333331</v>
      </c>
      <c r="AB47" s="46">
        <f>IF(COUNTIFS('Մոդելներ և պարտադիր վճարներ'!$B$35:$B$37,$D47,'Մոդելներ և պարտադիր վճարներ'!$C$35:$C$37,"ԱՁ")&gt;0,$J47,($W47+INDEX('Մոդելներ և պարտադիր վճարներ'!$D$67:$D$71,IFERROR(MATCH($W47,'Մոդելներ և պարտադիր վճարներ'!$F$67:$F$71,1)+1,1))+INDEX('Մոդելներ և պարտադիր վճարներ'!$E$67:$E$71,IFERROR(MATCH($W47,'Մոդելներ և պարտադիր վճարներ'!$F$67:$F$71,1)+1,1)))*'Մոդելներ և պարտադիր վճարներ'!$C$59)</f>
        <v>307733.33333333331</v>
      </c>
      <c r="AC47" s="51" t="str">
        <f>IF(COUNTIFS('Մոդելներ և պարտադիր վճարներ'!$B$35:$B$37,$D47,'Մոդելներ և պարտադիր վճարներ'!$C$35:$C$37,"ԱՁ")&gt;0,"Աստիճաններ չեն կիրառվում — հաշիվ-ապրանքագիր",IF(COUNTIFS('Մոդելներ և պարտադիր վճարներ'!$B$35:$B$37,$D47,'Մոդելներ և պարտադիր վճարներ'!$C$35:$C$37,"D2D")&gt;0,"Աստիճաններ չեն կիրառվում — տես D2D բաժինը","Ֆիքս × (1 + աստիճանի %)"))</f>
        <v>Ֆիքս × (1 + աստիճանի %)</v>
      </c>
      <c r="AD47" s="52" t="s">
        <v>148</v>
      </c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</row>
    <row r="48" spans="1:48" ht="30" customHeight="1" x14ac:dyDescent="0.25">
      <c r="A48" s="16"/>
      <c r="B48" s="130" t="s">
        <v>149</v>
      </c>
      <c r="C48" s="130"/>
      <c r="D48" s="130"/>
      <c r="E48" s="59"/>
      <c r="F48" s="60">
        <f>SUM(F46:F47)</f>
        <v>2</v>
      </c>
      <c r="G48" s="60">
        <f>SUM(G46:G47)</f>
        <v>1</v>
      </c>
      <c r="H48" s="60">
        <f>SUM(H46:H47)</f>
        <v>1</v>
      </c>
      <c r="I48" s="60"/>
      <c r="J48" s="60">
        <f t="shared" ref="J48:Q48" si="13">SUM(J46:J47)</f>
        <v>450000</v>
      </c>
      <c r="K48" s="60">
        <f t="shared" si="13"/>
        <v>124693.33333333334</v>
      </c>
      <c r="L48" s="60">
        <f t="shared" si="13"/>
        <v>31173.333333333336</v>
      </c>
      <c r="M48" s="60">
        <f t="shared" si="13"/>
        <v>2000</v>
      </c>
      <c r="N48" s="60">
        <f t="shared" si="13"/>
        <v>15600</v>
      </c>
      <c r="O48" s="60">
        <f t="shared" si="13"/>
        <v>623466.66666666663</v>
      </c>
      <c r="P48" s="60">
        <f t="shared" si="13"/>
        <v>450000</v>
      </c>
      <c r="Q48" s="61">
        <f t="shared" si="13"/>
        <v>623466.66666666663</v>
      </c>
      <c r="R48" s="62"/>
      <c r="S48" s="60">
        <f>SUMPRODUCT($S$46:$S$47,$F$46:$F$47)</f>
        <v>450000</v>
      </c>
      <c r="T48" s="60">
        <f>SUMPRODUCT($T$46:$T$47,$F$46:$F$47)</f>
        <v>517500</v>
      </c>
      <c r="U48" s="60">
        <f>SUMPRODUCT($U$46:$U$47,$F$46:$F$47)</f>
        <v>562500</v>
      </c>
      <c r="V48" s="60">
        <f>SUMPRODUCT($V$46:$V$47,$F$46:$F$47)</f>
        <v>607500</v>
      </c>
      <c r="W48" s="60">
        <f>SUMPRODUCT($W$46:$W$47,$F$46:$F$47)</f>
        <v>675000</v>
      </c>
      <c r="X48" s="60">
        <f>SUMPRODUCT($X$46:$X$47,$F$46:$F$47)</f>
        <v>615466.66666666663</v>
      </c>
      <c r="Y48" s="60">
        <f>SUMPRODUCT($Y$46:$Y$47,$F$46:$F$47)</f>
        <v>705466.66666666663</v>
      </c>
      <c r="Z48" s="60">
        <f>SUMPRODUCT($Z$46:$Z$47,$F$46:$F$47)</f>
        <v>773466.66666666663</v>
      </c>
      <c r="AA48" s="60">
        <f>SUMPRODUCT($AA$46:$AA$47,$F$46:$F$47)</f>
        <v>833466.66666666651</v>
      </c>
      <c r="AB48" s="60">
        <f>SUMPRODUCT($AB$46:$AB$47,$F$46:$F$47)</f>
        <v>923466.66666666651</v>
      </c>
      <c r="AC48" s="63"/>
      <c r="AD48" s="64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</row>
    <row r="49" spans="1:48" ht="6" customHeight="1" x14ac:dyDescent="0.25">
      <c r="A49" s="16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37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65"/>
      <c r="AD49" s="6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</row>
    <row r="50" spans="1:48" ht="34.5" customHeight="1" x14ac:dyDescent="0.25">
      <c r="A50" s="16"/>
      <c r="B50" s="129" t="s">
        <v>150</v>
      </c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67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</row>
    <row r="51" spans="1:48" ht="30" customHeight="1" x14ac:dyDescent="0.25">
      <c r="A51" s="16"/>
      <c r="B51" s="53" t="s">
        <v>151</v>
      </c>
      <c r="C51" s="53" t="s">
        <v>152</v>
      </c>
      <c r="D51" s="54" t="s">
        <v>153</v>
      </c>
      <c r="E51" s="55">
        <v>1</v>
      </c>
      <c r="F51" s="56">
        <v>1</v>
      </c>
      <c r="G51" s="56">
        <v>0</v>
      </c>
      <c r="H51" s="56">
        <f>$F51-$G51</f>
        <v>1</v>
      </c>
      <c r="I51" s="57" t="s">
        <v>75</v>
      </c>
      <c r="J51" s="45">
        <v>100000</v>
      </c>
      <c r="K51" s="46">
        <f>IF(COUNTIFS('Մոդելներ և պարտադիր վճարներ'!$B$35:$B$37,$D51,'Մոդելներ և պարտադիր վճարներ'!$C$35:$C$37,"ԱՁ")&gt;0,0,$O51*'Մոդելներ և պարտադիր վճարներ'!$C$57)</f>
        <v>0</v>
      </c>
      <c r="L51" s="46">
        <f>IF(COUNTIFS('Մոդելներ և պարտադիր վճարներ'!$B$35:$B$37,$D51,'Մոդելներ և պարտադիր վճարներ'!$C$35:$C$37,"ԱՁ")&gt;0,0,$O51*'Մոդելներ և պարտադիր վճարներ'!$C$58)</f>
        <v>0</v>
      </c>
      <c r="M51" s="46">
        <f>IF(COUNTIFS('Մոդելներ և պարտադիր վճարներ'!$B$35:$B$37,$D51,'Մոդելներ և պարտադիր վճարներ'!$C$35:$C$37,"ԱՁ")&gt;0,0,INDEX('Մոդելներ և պարտադիր վճարներ'!$D$67:$D$71,IFERROR(MATCH(IFERROR(INDEX('Մոդելներ և պարտադիր վճարներ'!$D$35:$D$37,MATCH($D51,'Մոդելներ և պարտադիր վճարներ'!$B$35:$B$37,0)),$J51*(1+'Մոդելներ և պարտադիր վճարներ'!$C$60)),'Մոդելներ և պարտադիր վճարներ'!$F$67:$F$71,1)+1,1)))</f>
        <v>0</v>
      </c>
      <c r="N51" s="46">
        <f>IF(COUNTIFS('Մոդելներ և պարտադիր վճարներ'!$B$35:$B$37,$D51,'Մոդելներ և պարտադիր վճարներ'!$C$35:$C$37,"ԱՁ")&gt;0,0,INDEX('Մոդելներ և պարտադիր վճարներ'!$E$67:$E$71,IFERROR(MATCH(IFERROR(INDEX('Մոդելներ և պարտադիր վճարներ'!$D$35:$D$37,MATCH($D51,'Մոդելներ և պարտադիր վճարներ'!$B$35:$B$37,0)),$J51*(1+'Մոդելներ և պարտադիր վճարներ'!$C$60)),'Մոդելներ և պարտադիր վճարներ'!$F$67:$F$71,1)+1,1)))</f>
        <v>0</v>
      </c>
      <c r="O51" s="47">
        <f>IF(COUNTIFS('Մոդելներ և պարտադիր վճարներ'!$B$35:$B$37,$D51,'Մոդելներ և պարտադիր վճարներ'!$C$35:$C$37,"ԱՁ")&gt;0,$J51,($J51+$M51+$N51)*'Մոդելներ և պարտադիր վճարներ'!$C$59)</f>
        <v>100000</v>
      </c>
      <c r="P51" s="58">
        <f>F51*$J51</f>
        <v>100000</v>
      </c>
      <c r="Q51" s="49">
        <f>O51*F51</f>
        <v>100000</v>
      </c>
      <c r="R51" s="50" t="str">
        <f>IF(COUNTIFS('Մոդելներ և պարտադիր վճարներ'!$B$35:$B$37,$D51,'Մոդելներ և պարտադիր վճարներ'!$C$35:$C$37,"ԱՁ")&gt;0,"Գ. ԱՁ",IF(COUNTIFS('Մոդելներ և պարտադիր վճարներ'!$B$35:$B$37,$D51,'Մոդելներ և պարտադիր վճարներ'!$C$35:$C$37,"D2D")&gt;0,"Բ. D2D","Ա. Ֆիքս + KPI բոնուս"))</f>
        <v>Գ. ԱՁ</v>
      </c>
      <c r="S51" s="46">
        <f>IF(COUNTIFS('Մոդելներ և պարտադիր վճարներ'!$B$35:$B$37,$D51,'Մոդելներ և պարտադիր վճարներ'!$C$35:$C$37,"ԱՁ")&gt;0,$J51,IF(COUNTIFS('Մոդելներ և պարտադիր վճարներ'!$B$35:$B$37,$D51,'Մոդելներ և պարտադիր վճարներ'!$C$35:$C$37,"D2D")&gt;0,'Մոդելներ և պարտադիր վճարներ'!$G$26,$J51*(1+'Մոդելներ և պարտադիր վճարներ'!$D$7)))</f>
        <v>100000</v>
      </c>
      <c r="T51" s="46">
        <f>IF(COUNTIFS('Մոդելներ և պարտադիր վճարներ'!$B$35:$B$37,$D51,'Մոդելներ և պարտադիր վճարներ'!$C$35:$C$37,"ԱՁ")&gt;0,$J51,IF(COUNTIFS('Մոդելներ և պարտադիր վճարներ'!$B$35:$B$37,$D51,'Մոդելներ և պարտադիր վճարներ'!$C$35:$C$37,"D2D")&gt;0,'Մոդելներ և պարտադիր վճարներ'!$G$27,$J51*(1+'Մոդելներ և պարտադիր վճարներ'!$D$8)))</f>
        <v>100000</v>
      </c>
      <c r="U51" s="46">
        <f>IF(COUNTIFS('Մոդելներ և պարտադիր վճարներ'!$B$35:$B$37,$D51,'Մոդելներ և պարտադիր վճարներ'!$C$35:$C$37,"ԱՁ")&gt;0,$J51,IF(COUNTIFS('Մոդելներ և պարտադիր վճարներ'!$B$35:$B$37,$D51,'Մոդելներ և պարտադիր վճարներ'!$C$35:$C$37,"D2D")&gt;0,'Մոդելներ և պարտադիր վճարներ'!$G$28,$J51*(1+'Մոդելներ և պարտադիր վճարներ'!$D$9)))</f>
        <v>100000</v>
      </c>
      <c r="V51" s="47">
        <f>IF(COUNTIFS('Մոդելներ և պարտադիր վճարներ'!$B$35:$B$37,$D51,'Մոդելներ և պարտադիր վճարներ'!$C$35:$C$37,"ԱՁ")&gt;0,$J51,IF(COUNTIFS('Մոդելներ և պարտադիր վճարներ'!$B$35:$B$37,$D51,'Մոդելներ և պարտադիր վճարներ'!$C$35:$C$37,"D2D")&gt;0,'Մոդելներ և պարտադիր վճարներ'!$G$29,$J51*(1+'Մոդելներ և պարտադիր վճարներ'!$D$10)))</f>
        <v>100000</v>
      </c>
      <c r="W51" s="46">
        <f>IF(COUNTIFS('Մոդելներ և պարտադիր վճարներ'!$B$35:$B$37,$D51,'Մոդելներ և պարտադիր վճարներ'!$C$35:$C$37,"ԱՁ")&gt;0,$J51,IF(COUNTIFS('Մոդելներ և պարտադիր վճարներ'!$B$35:$B$37,$D51,'Մոդելներ և պարտադիր վճարներ'!$C$35:$C$37,"D2D")&gt;0,'Մոդելներ և պարտադիր վճարներ'!$G$30,$J51*(1+'Մոդելներ և պարտադիր վճարներ'!$D$11)))</f>
        <v>100000</v>
      </c>
      <c r="X51" s="46">
        <f>IF(COUNTIFS('Մոդելներ և պարտադիր վճարներ'!$B$35:$B$37,$D51,'Մոդելներ և պարտադիր վճարներ'!$C$35:$C$37,"ԱՁ")&gt;0,$J51,($S51+INDEX('Մոդելներ և պարտադիր վճարներ'!$D$67:$D$71,IFERROR(MATCH($S51,'Մոդելներ և պարտադիր վճարներ'!$F$67:$F$71,1)+1,1))+INDEX('Մոդելներ և պարտադիր վճարներ'!$E$67:$E$71,IFERROR(MATCH($S51,'Մոդելներ և պարտադիր վճարներ'!$F$67:$F$71,1)+1,1)))*'Մոդելներ և պարտադիր վճարներ'!$C$59)</f>
        <v>100000</v>
      </c>
      <c r="Y51" s="46">
        <f>IF(COUNTIFS('Մոդելներ և պարտադիր վճարներ'!$B$35:$B$37,$D51,'Մոդելներ և պարտադիր վճարներ'!$C$35:$C$37,"ԱՁ")&gt;0,$J51,($T51+INDEX('Մոդելներ և պարտադիր վճարներ'!$D$67:$D$71,IFERROR(MATCH($T51,'Մոդելներ և պարտադիր վճարներ'!$F$67:$F$71,1)+1,1))+INDEX('Մոդելներ և պարտադիր վճարներ'!$E$67:$E$71,IFERROR(MATCH($T51,'Մոդելներ և պարտադիր վճարներ'!$F$67:$F$71,1)+1,1)))*'Մոդելներ և պարտադիր վճարներ'!$C$59)</f>
        <v>100000</v>
      </c>
      <c r="Z51" s="46">
        <f>IF(COUNTIFS('Մոդելներ և պարտադիր վճարներ'!$B$35:$B$37,$D51,'Մոդելներ և պարտադիր վճարներ'!$C$35:$C$37,"ԱՁ")&gt;0,$J51,($U51+INDEX('Մոդելներ և պարտադիր վճարներ'!$D$67:$D$71,IFERROR(MATCH($U51,'Մոդելներ և պարտադիր վճարներ'!$F$67:$F$71,1)+1,1))+INDEX('Մոդելներ և պարտադիր վճարներ'!$E$67:$E$71,IFERROR(MATCH($U51,'Մոդելներ և պարտադիր վճարներ'!$F$67:$F$71,1)+1,1)))*'Մոդելներ և պարտադիր վճարներ'!$C$59)</f>
        <v>100000</v>
      </c>
      <c r="AA51" s="47">
        <f>IF(COUNTIFS('Մոդելներ և պարտադիր վճարներ'!$B$35:$B$37,$D51,'Մոդելներ և պարտադիր վճարներ'!$C$35:$C$37,"ԱՁ")&gt;0,$J51,($V51+INDEX('Մոդելներ և պարտադիր վճարներ'!$D$67:$D$71,IFERROR(MATCH($V51,'Մոդելներ և պարտադիր վճարներ'!$F$67:$F$71,1)+1,1))+INDEX('Մոդելներ և պարտադիր վճարներ'!$E$67:$E$71,IFERROR(MATCH($V51,'Մոդելներ և պարտադիր վճարներ'!$F$67:$F$71,1)+1,1)))*'Մոդելներ և պարտադիր վճարներ'!$C$59)</f>
        <v>100000</v>
      </c>
      <c r="AB51" s="46">
        <f>IF(COUNTIFS('Մոդելներ և պարտադիր վճարներ'!$B$35:$B$37,$D51,'Մոդելներ և պարտադիր վճարներ'!$C$35:$C$37,"ԱՁ")&gt;0,$J51,($W51+INDEX('Մոդելներ և պարտադիր վճարներ'!$D$67:$D$71,IFERROR(MATCH($W51,'Մոդելներ և պարտադիր վճարներ'!$F$67:$F$71,1)+1,1))+INDEX('Մոդելներ և պարտադիր վճարներ'!$E$67:$E$71,IFERROR(MATCH($W51,'Մոդելներ և պարտադիր վճարներ'!$F$67:$F$71,1)+1,1)))*'Մոդելներ և պարտադիր վճարներ'!$C$59)</f>
        <v>100000</v>
      </c>
      <c r="AC51" s="51" t="str">
        <f>IF(COUNTIFS('Մոդելներ և պարտադիր վճարներ'!$B$35:$B$37,$D51,'Մոդելներ և պարտադիր վճարներ'!$C$35:$C$37,"ԱՁ")&gt;0,"Աստիճաններ չեն կիրառվում — հաշիվ-ապրանքագիր",IF(COUNTIFS('Մոդելներ և պարտադիր վճարներ'!$B$35:$B$37,$D51,'Մոդելներ և պարտադիր վճարներ'!$C$35:$C$37,"D2D")&gt;0,"Աստիճաններ չեն կիրառվում — տես D2D բաժինը","Ֆիքս × (1 + աստիճանի %)"))</f>
        <v>Աստիճաններ չեն կիրառվում — հաշիվ-ապրանքագիր</v>
      </c>
      <c r="AD51" s="52" t="s">
        <v>154</v>
      </c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</row>
    <row r="52" spans="1:48" ht="30" customHeight="1" x14ac:dyDescent="0.25">
      <c r="A52" s="16"/>
      <c r="B52" s="53" t="s">
        <v>151</v>
      </c>
      <c r="C52" s="53" t="s">
        <v>152</v>
      </c>
      <c r="D52" s="54" t="s">
        <v>155</v>
      </c>
      <c r="E52" s="55">
        <v>1</v>
      </c>
      <c r="F52" s="56">
        <v>1</v>
      </c>
      <c r="G52" s="56">
        <v>0</v>
      </c>
      <c r="H52" s="56">
        <f>$F52-$G52</f>
        <v>1</v>
      </c>
      <c r="I52" s="57" t="s">
        <v>75</v>
      </c>
      <c r="J52" s="45">
        <v>50000</v>
      </c>
      <c r="K52" s="46">
        <f>IF(COUNTIFS('Մոդելներ և պարտադիր վճարներ'!$B$35:$B$37,$D52,'Մոդելներ և պարտադիր վճարներ'!$C$35:$C$37,"ԱՁ")&gt;0,0,$O52*'Մոդելներ և պարտադիր վճարներ'!$C$57)</f>
        <v>0</v>
      </c>
      <c r="L52" s="46">
        <f>IF(COUNTIFS('Մոդելներ և պարտադիր վճարներ'!$B$35:$B$37,$D52,'Մոդելներ և պարտադիր վճարներ'!$C$35:$C$37,"ԱՁ")&gt;0,0,$O52*'Մոդելներ և պարտադիր վճարներ'!$C$58)</f>
        <v>0</v>
      </c>
      <c r="M52" s="46">
        <f>IF(COUNTIFS('Մոդելներ և պարտադիր վճարներ'!$B$35:$B$37,$D52,'Մոդելներ և պարտադիր վճարներ'!$C$35:$C$37,"ԱՁ")&gt;0,0,INDEX('Մոդելներ և պարտադիր վճարներ'!$D$67:$D$71,IFERROR(MATCH(IFERROR(INDEX('Մոդելներ և պարտադիր վճարներ'!$D$35:$D$37,MATCH($D52,'Մոդելներ և պարտադիր վճարներ'!$B$35:$B$37,0)),$J52*(1+'Մոդելներ և պարտադիր վճարներ'!$C$60)),'Մոդելներ և պարտադիր վճարներ'!$F$67:$F$71,1)+1,1)))</f>
        <v>0</v>
      </c>
      <c r="N52" s="46">
        <f>IF(COUNTIFS('Մոդելներ և պարտադիր վճարներ'!$B$35:$B$37,$D52,'Մոդելներ և պարտադիր վճարներ'!$C$35:$C$37,"ԱՁ")&gt;0,0,INDEX('Մոդելներ և պարտադիր վճարներ'!$E$67:$E$71,IFERROR(MATCH(IFERROR(INDEX('Մոդելներ և պարտադիր վճարներ'!$D$35:$D$37,MATCH($D52,'Մոդելներ և պարտադիր վճարներ'!$B$35:$B$37,0)),$J52*(1+'Մոդելներ և պարտադիր վճարներ'!$C$60)),'Մոդելներ և պարտադիր վճարներ'!$F$67:$F$71,1)+1,1)))</f>
        <v>0</v>
      </c>
      <c r="O52" s="47">
        <f>IF(COUNTIFS('Մոդելներ և պարտադիր վճարներ'!$B$35:$B$37,$D52,'Մոդելներ և պարտադիր վճարներ'!$C$35:$C$37,"ԱՁ")&gt;0,$J52,($J52+$M52+$N52)*'Մոդելներ և պարտադիր վճարներ'!$C$59)</f>
        <v>50000</v>
      </c>
      <c r="P52" s="58">
        <f>F52*$J52</f>
        <v>50000</v>
      </c>
      <c r="Q52" s="49">
        <f>O52*F52</f>
        <v>50000</v>
      </c>
      <c r="R52" s="50" t="str">
        <f>IF(COUNTIFS('Մոդելներ և պարտադիր վճարներ'!$B$35:$B$37,$D52,'Մոդելներ և պարտադիր վճարներ'!$C$35:$C$37,"ԱՁ")&gt;0,"Գ. ԱՁ",IF(COUNTIFS('Մոդելներ և պարտադիր վճարներ'!$B$35:$B$37,$D52,'Մոդելներ և պարտադիր վճարներ'!$C$35:$C$37,"D2D")&gt;0,"Բ. D2D","Ա. Ֆիքս + KPI բոնուս"))</f>
        <v>Գ. ԱՁ</v>
      </c>
      <c r="S52" s="46">
        <f>IF(COUNTIFS('Մոդելներ և պարտադիր վճարներ'!$B$35:$B$37,$D52,'Մոդելներ և պարտադիր վճարներ'!$C$35:$C$37,"ԱՁ")&gt;0,$J52,IF(COUNTIFS('Մոդելներ և պարտադիր վճարներ'!$B$35:$B$37,$D52,'Մոդելներ և պարտադիր վճարներ'!$C$35:$C$37,"D2D")&gt;0,'Մոդելներ և պարտադիր վճարներ'!$G$26,$J52*(1+'Մոդելներ և պարտադիր վճարներ'!$D$7)))</f>
        <v>50000</v>
      </c>
      <c r="T52" s="46">
        <f>IF(COUNTIFS('Մոդելներ և պարտադիր վճարներ'!$B$35:$B$37,$D52,'Մոդելներ և պարտադիր վճարներ'!$C$35:$C$37,"ԱՁ")&gt;0,$J52,IF(COUNTIFS('Մոդելներ և պարտադիր վճարներ'!$B$35:$B$37,$D52,'Մոդելներ և պարտադիր վճարներ'!$C$35:$C$37,"D2D")&gt;0,'Մոդելներ և պարտադիր վճարներ'!$G$27,$J52*(1+'Մոդելներ և պարտադիր վճարներ'!$D$8)))</f>
        <v>50000</v>
      </c>
      <c r="U52" s="46">
        <f>IF(COUNTIFS('Մոդելներ և պարտադիր վճարներ'!$B$35:$B$37,$D52,'Մոդելներ և պարտադիր վճարներ'!$C$35:$C$37,"ԱՁ")&gt;0,$J52,IF(COUNTIFS('Մոդելներ և պարտադիր վճարներ'!$B$35:$B$37,$D52,'Մոդելներ և պարտադիր վճարներ'!$C$35:$C$37,"D2D")&gt;0,'Մոդելներ և պարտադիր վճարներ'!$G$28,$J52*(1+'Մոդելներ և պարտադիր վճարներ'!$D$9)))</f>
        <v>50000</v>
      </c>
      <c r="V52" s="47">
        <f>IF(COUNTIFS('Մոդելներ և պարտադիր վճարներ'!$B$35:$B$37,$D52,'Մոդելներ և պարտադիր վճարներ'!$C$35:$C$37,"ԱՁ")&gt;0,$J52,IF(COUNTIFS('Մոդելներ և պարտադիր վճարներ'!$B$35:$B$37,$D52,'Մոդելներ և պարտադիր վճարներ'!$C$35:$C$37,"D2D")&gt;0,'Մոդելներ և պարտադիր վճարներ'!$G$29,$J52*(1+'Մոդելներ և պարտադիր վճարներ'!$D$10)))</f>
        <v>50000</v>
      </c>
      <c r="W52" s="46">
        <f>IF(COUNTIFS('Մոդելներ և պարտադիր վճարներ'!$B$35:$B$37,$D52,'Մոդելներ և պարտադիր վճարներ'!$C$35:$C$37,"ԱՁ")&gt;0,$J52,IF(COUNTIFS('Մոդելներ և պարտադիր վճարներ'!$B$35:$B$37,$D52,'Մոդելներ և պարտադիր վճարներ'!$C$35:$C$37,"D2D")&gt;0,'Մոդելներ և պարտադիր վճարներ'!$G$30,$J52*(1+'Մոդելներ և պարտադիր վճարներ'!$D$11)))</f>
        <v>50000</v>
      </c>
      <c r="X52" s="46">
        <f>IF(COUNTIFS('Մոդելներ և պարտադիր վճարներ'!$B$35:$B$37,$D52,'Մոդելներ և պարտադիր վճարներ'!$C$35:$C$37,"ԱՁ")&gt;0,$J52,($S52+INDEX('Մոդելներ և պարտադիր վճարներ'!$D$67:$D$71,IFERROR(MATCH($S52,'Մոդելներ և պարտադիր վճարներ'!$F$67:$F$71,1)+1,1))+INDEX('Մոդելներ և պարտադիր վճարներ'!$E$67:$E$71,IFERROR(MATCH($S52,'Մոդելներ և պարտադիր վճարներ'!$F$67:$F$71,1)+1,1)))*'Մոդելներ և պարտադիր վճարներ'!$C$59)</f>
        <v>50000</v>
      </c>
      <c r="Y52" s="46">
        <f>IF(COUNTIFS('Մոդելներ և պարտադիր վճարներ'!$B$35:$B$37,$D52,'Մոդելներ և պարտադիր վճարներ'!$C$35:$C$37,"ԱՁ")&gt;0,$J52,($T52+INDEX('Մոդելներ և պարտադիր վճարներ'!$D$67:$D$71,IFERROR(MATCH($T52,'Մոդելներ և պարտադիր վճարներ'!$F$67:$F$71,1)+1,1))+INDEX('Մոդելներ և պարտադիր վճարներ'!$E$67:$E$71,IFERROR(MATCH($T52,'Մոդելներ և պարտադիր վճարներ'!$F$67:$F$71,1)+1,1)))*'Մոդելներ և պարտադիր վճարներ'!$C$59)</f>
        <v>50000</v>
      </c>
      <c r="Z52" s="46">
        <f>IF(COUNTIFS('Մոդելներ և պարտադիր վճարներ'!$B$35:$B$37,$D52,'Մոդելներ և պարտադիր վճարներ'!$C$35:$C$37,"ԱՁ")&gt;0,$J52,($U52+INDEX('Մոդելներ և պարտադիր վճարներ'!$D$67:$D$71,IFERROR(MATCH($U52,'Մոդելներ և պարտադիր վճարներ'!$F$67:$F$71,1)+1,1))+INDEX('Մոդելներ և պարտադիր վճարներ'!$E$67:$E$71,IFERROR(MATCH($U52,'Մոդելներ և պարտադիր վճարներ'!$F$67:$F$71,1)+1,1)))*'Մոդելներ և պարտադիր վճարներ'!$C$59)</f>
        <v>50000</v>
      </c>
      <c r="AA52" s="47">
        <f>IF(COUNTIFS('Մոդելներ և պարտադիր վճարներ'!$B$35:$B$37,$D52,'Մոդելներ և պարտադիր վճարներ'!$C$35:$C$37,"ԱՁ")&gt;0,$J52,($V52+INDEX('Մոդելներ և պարտադիր վճարներ'!$D$67:$D$71,IFERROR(MATCH($V52,'Մոդելներ և պարտադիր վճարներ'!$F$67:$F$71,1)+1,1))+INDEX('Մոդելներ և պարտադիր վճարներ'!$E$67:$E$71,IFERROR(MATCH($V52,'Մոդելներ և պարտադիր վճարներ'!$F$67:$F$71,1)+1,1)))*'Մոդելներ և պարտադիր վճարներ'!$C$59)</f>
        <v>50000</v>
      </c>
      <c r="AB52" s="46">
        <f>IF(COUNTIFS('Մոդելներ և պարտադիր վճարներ'!$B$35:$B$37,$D52,'Մոդելներ և պարտադիր վճարներ'!$C$35:$C$37,"ԱՁ")&gt;0,$J52,($W52+INDEX('Մոդելներ և պարտադիր վճարներ'!$D$67:$D$71,IFERROR(MATCH($W52,'Մոդելներ և պարտադիր վճարներ'!$F$67:$F$71,1)+1,1))+INDEX('Մոդելներ և պարտադիր վճարներ'!$E$67:$E$71,IFERROR(MATCH($W52,'Մոդելներ և պարտադիր վճարներ'!$F$67:$F$71,1)+1,1)))*'Մոդելներ և պարտադիր վճարներ'!$C$59)</f>
        <v>50000</v>
      </c>
      <c r="AC52" s="51" t="str">
        <f>IF(COUNTIFS('Մոդելներ և պարտադիր վճարներ'!$B$35:$B$37,$D52,'Մոդելներ և պարտադիր վճարներ'!$C$35:$C$37,"ԱՁ")&gt;0,"Աստիճաններ չեն կիրառվում — հաշիվ-ապրանքագիր",IF(COUNTIFS('Մոդելներ և պարտադիր վճարներ'!$B$35:$B$37,$D52,'Մոդելներ և պարտադիր վճարներ'!$C$35:$C$37,"D2D")&gt;0,"Աստիճաններ չեն կիրառվում — տես D2D բաժինը","Ֆիքս × (1 + աստիճանի %)"))</f>
        <v>Աստիճաններ չեն կիրառվում — հաշիվ-ապրանքագիր</v>
      </c>
      <c r="AD52" s="52" t="s">
        <v>154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</row>
    <row r="53" spans="1:48" ht="30" customHeight="1" x14ac:dyDescent="0.25">
      <c r="A53" s="16"/>
      <c r="B53" s="131" t="s">
        <v>156</v>
      </c>
      <c r="C53" s="131"/>
      <c r="D53" s="131"/>
      <c r="E53" s="68"/>
      <c r="F53" s="69">
        <f>SUM(F51:F52)</f>
        <v>2</v>
      </c>
      <c r="G53" s="69">
        <f>SUM(G51:G52)</f>
        <v>0</v>
      </c>
      <c r="H53" s="69">
        <f>SUM(H51:H52)</f>
        <v>2</v>
      </c>
      <c r="I53" s="70"/>
      <c r="J53" s="69">
        <f t="shared" ref="J53:Q53" si="14">SUM(J51:J52)</f>
        <v>150000</v>
      </c>
      <c r="K53" s="69">
        <f t="shared" si="14"/>
        <v>0</v>
      </c>
      <c r="L53" s="69">
        <f t="shared" si="14"/>
        <v>0</v>
      </c>
      <c r="M53" s="69">
        <f t="shared" si="14"/>
        <v>0</v>
      </c>
      <c r="N53" s="69">
        <f t="shared" si="14"/>
        <v>0</v>
      </c>
      <c r="O53" s="69">
        <f t="shared" si="14"/>
        <v>150000</v>
      </c>
      <c r="P53" s="69">
        <f t="shared" si="14"/>
        <v>150000</v>
      </c>
      <c r="Q53" s="71">
        <f t="shared" si="14"/>
        <v>150000</v>
      </c>
      <c r="R53" s="62"/>
      <c r="S53" s="60">
        <f>SUMPRODUCT($S$51:$S$52,$F$51:$F$52)</f>
        <v>150000</v>
      </c>
      <c r="T53" s="60">
        <f>SUMPRODUCT($T$51:$T$52,$F$51:$F$52)</f>
        <v>150000</v>
      </c>
      <c r="U53" s="60">
        <f>SUMPRODUCT($U$51:$U$52,$F$51:$F$52)</f>
        <v>150000</v>
      </c>
      <c r="V53" s="60">
        <f>SUMPRODUCT($V$51:$V$52,$F$51:$F$52)</f>
        <v>150000</v>
      </c>
      <c r="W53" s="60">
        <f>SUMPRODUCT($W$51:$W$52,$F$51:$F$52)</f>
        <v>150000</v>
      </c>
      <c r="X53" s="60">
        <f>SUMPRODUCT($X$51:$X$52,$F$51:$F$52)</f>
        <v>150000</v>
      </c>
      <c r="Y53" s="60">
        <f>SUMPRODUCT($Y$51:$Y$52,$F$51:$F$52)</f>
        <v>150000</v>
      </c>
      <c r="Z53" s="60">
        <f>SUMPRODUCT($Z$51:$Z$52,$F$51:$F$52)</f>
        <v>150000</v>
      </c>
      <c r="AA53" s="60">
        <f>SUMPRODUCT($AA$51:$AA$52,$F$51:$F$52)</f>
        <v>150000</v>
      </c>
      <c r="AB53" s="60">
        <f>SUMPRODUCT($AB$51:$AB$52,$F$51:$F$52)</f>
        <v>150000</v>
      </c>
      <c r="AC53" s="62"/>
      <c r="AD53" s="62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</row>
    <row r="54" spans="1:48" ht="6" customHeight="1" x14ac:dyDescent="0.25">
      <c r="A54" s="16"/>
      <c r="B54" s="72"/>
      <c r="C54" s="72"/>
      <c r="D54" s="72"/>
      <c r="E54" s="72"/>
      <c r="F54" s="73"/>
      <c r="G54" s="73"/>
      <c r="H54" s="73"/>
      <c r="I54" s="72"/>
      <c r="J54" s="73"/>
      <c r="K54" s="73"/>
      <c r="L54" s="73"/>
      <c r="M54" s="73"/>
      <c r="N54" s="73"/>
      <c r="O54" s="73"/>
      <c r="P54" s="73"/>
      <c r="Q54" s="74"/>
      <c r="R54" s="37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7"/>
      <c r="AD54" s="37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</row>
    <row r="55" spans="1:48" ht="79.5" customHeight="1" x14ac:dyDescent="0.25">
      <c r="A55" s="16"/>
      <c r="B55" s="132" t="s">
        <v>157</v>
      </c>
      <c r="C55" s="132"/>
      <c r="D55" s="75" t="s">
        <v>158</v>
      </c>
      <c r="E55" s="75"/>
      <c r="F55" s="76">
        <f>SUM(F19,F36,F43,F48,F53)</f>
        <v>54</v>
      </c>
      <c r="G55" s="76">
        <f>SUM(G19,G36,G43,G48,G53)</f>
        <v>25</v>
      </c>
      <c r="H55" s="76">
        <f>SUM(H19,H36,H43,H48,H53)</f>
        <v>29</v>
      </c>
      <c r="I55" s="77" t="str">
        <f>SUMIFS($H$7:$H$47,$I$7:$I$47,"Կրիտիկական")&amp;" կրիտիկական  |  "&amp;SUMIFS($H$7:$H$47,$I$7:$I$47,"Կարևոր")&amp;" կարևոր  |  "&amp;SUMIFS($H$7:$H$47,$I$7:$I$47,"Կարող է սպասել")&amp;" սպասող  |  "&amp;($G$55-$G$53)&amp;" համալրված  (մարդով, առանց ԱՁ)"</f>
        <v>13 կրիտիկական  |  6 կարևոր  |  8 սպասող  |  25 համալրված  (մարդով, առանց ԱՁ)</v>
      </c>
      <c r="J55" s="76">
        <f t="shared" ref="J55:Q55" si="15">SUM(J19,J36,J43,J48,J53)</f>
        <v>5310000</v>
      </c>
      <c r="K55" s="76">
        <f t="shared" si="15"/>
        <v>1427253.3333333333</v>
      </c>
      <c r="L55" s="76">
        <f t="shared" si="15"/>
        <v>356813.33333333331</v>
      </c>
      <c r="M55" s="76">
        <f t="shared" si="15"/>
        <v>29000</v>
      </c>
      <c r="N55" s="76">
        <f t="shared" si="15"/>
        <v>163200</v>
      </c>
      <c r="O55" s="76">
        <f t="shared" si="15"/>
        <v>7286266.666666666</v>
      </c>
      <c r="P55" s="76">
        <f t="shared" si="15"/>
        <v>8310000</v>
      </c>
      <c r="Q55" s="78">
        <f t="shared" si="15"/>
        <v>11464133.33333333</v>
      </c>
      <c r="R55" s="79"/>
      <c r="S55" s="80">
        <f t="shared" ref="S55:AB55" si="16">SUM(S19,S36,S43,S48,S53)</f>
        <v>8269200</v>
      </c>
      <c r="T55" s="80">
        <f t="shared" si="16"/>
        <v>9855000</v>
      </c>
      <c r="U55" s="80">
        <f t="shared" si="16"/>
        <v>10677000</v>
      </c>
      <c r="V55" s="80">
        <f t="shared" si="16"/>
        <v>11499000</v>
      </c>
      <c r="W55" s="80">
        <f t="shared" si="16"/>
        <v>12756000</v>
      </c>
      <c r="X55" s="80">
        <f t="shared" si="16"/>
        <v>11268933.33333333</v>
      </c>
      <c r="Y55" s="80">
        <f t="shared" si="16"/>
        <v>13391333.33333333</v>
      </c>
      <c r="Z55" s="80">
        <f t="shared" si="16"/>
        <v>14560933.33333333</v>
      </c>
      <c r="AA55" s="80">
        <f t="shared" si="16"/>
        <v>15695333.333333334</v>
      </c>
      <c r="AB55" s="80">
        <f t="shared" si="16"/>
        <v>17392133.333333332</v>
      </c>
      <c r="AC55" s="79"/>
      <c r="AD55" s="79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</row>
    <row r="56" spans="1:48" ht="6" customHeight="1" x14ac:dyDescent="0.25">
      <c r="A56" s="16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S56" s="81"/>
      <c r="T56" s="81"/>
      <c r="U56" s="81"/>
      <c r="V56" s="81"/>
      <c r="W56" s="81"/>
      <c r="X56" s="81"/>
      <c r="Y56" s="81"/>
      <c r="Z56" s="81"/>
      <c r="AA56" s="81"/>
      <c r="AB56" s="81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</row>
    <row r="57" spans="1:48" ht="15" customHeight="1" x14ac:dyDescent="0.25">
      <c r="A57" s="16"/>
      <c r="B57" s="16"/>
      <c r="C57" s="16"/>
      <c r="D57" s="82"/>
      <c r="E57" s="82"/>
      <c r="F57" s="83"/>
      <c r="G57" s="83"/>
      <c r="H57" s="83"/>
      <c r="I57" s="83"/>
      <c r="J57" s="84"/>
      <c r="K57" s="84"/>
      <c r="L57" s="84"/>
      <c r="M57" s="84"/>
      <c r="N57" s="84"/>
      <c r="O57" s="84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</row>
    <row r="58" spans="1:48" ht="15" customHeight="1" x14ac:dyDescent="0.25">
      <c r="A58" s="16"/>
      <c r="B58" s="16"/>
      <c r="C58" s="16"/>
      <c r="D58" s="82"/>
      <c r="E58" s="82"/>
      <c r="F58" s="83"/>
      <c r="G58" s="83"/>
      <c r="H58" s="83"/>
      <c r="I58" s="83"/>
      <c r="J58" s="84"/>
      <c r="K58" s="84"/>
      <c r="L58" s="84"/>
      <c r="M58" s="84"/>
      <c r="N58" s="84"/>
      <c r="O58" s="84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</row>
    <row r="59" spans="1:48" ht="15" customHeight="1" x14ac:dyDescent="0.25">
      <c r="A59" s="16"/>
      <c r="B59" s="16"/>
      <c r="C59" s="16"/>
      <c r="D59" s="82"/>
      <c r="E59" s="82"/>
      <c r="F59" s="83"/>
      <c r="G59" s="83"/>
      <c r="H59" s="83"/>
      <c r="I59" s="83"/>
      <c r="J59" s="84"/>
      <c r="K59" s="84"/>
      <c r="L59" s="84"/>
      <c r="M59" s="84"/>
      <c r="N59" s="84"/>
      <c r="O59" s="84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</row>
    <row r="60" spans="1:48" ht="15" customHeight="1" x14ac:dyDescent="0.25">
      <c r="A60" s="16"/>
      <c r="B60" s="16"/>
      <c r="C60" s="16"/>
      <c r="D60" s="82"/>
      <c r="E60" s="82"/>
      <c r="F60" s="83"/>
      <c r="G60" s="83"/>
      <c r="H60" s="83"/>
      <c r="I60" s="83"/>
      <c r="J60" s="84"/>
      <c r="K60" s="84"/>
      <c r="L60" s="84"/>
      <c r="M60" s="84"/>
      <c r="N60" s="84"/>
      <c r="O60" s="84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</row>
    <row r="61" spans="1:48" ht="15" customHeight="1" x14ac:dyDescent="0.25">
      <c r="A61" s="16"/>
      <c r="B61" s="16"/>
      <c r="C61" s="16"/>
      <c r="D61" s="82"/>
      <c r="E61" s="82"/>
      <c r="F61" s="83"/>
      <c r="G61" s="83"/>
      <c r="H61" s="83"/>
      <c r="I61" s="83"/>
      <c r="J61" s="84"/>
      <c r="K61" s="84"/>
      <c r="L61" s="84"/>
      <c r="M61" s="84"/>
      <c r="N61" s="84"/>
      <c r="O61" s="84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</row>
    <row r="62" spans="1:48" ht="15" customHeight="1" x14ac:dyDescent="0.25">
      <c r="A62" s="16"/>
      <c r="B62" s="16"/>
      <c r="C62" s="16"/>
      <c r="D62" s="82"/>
      <c r="E62" s="82"/>
      <c r="F62" s="83"/>
      <c r="G62" s="83"/>
      <c r="H62" s="83"/>
      <c r="I62" s="83"/>
      <c r="J62" s="84"/>
      <c r="K62" s="84"/>
      <c r="L62" s="84"/>
      <c r="M62" s="84"/>
      <c r="N62" s="84"/>
      <c r="O62" s="84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</row>
    <row r="63" spans="1:48" ht="15" customHeight="1" x14ac:dyDescent="0.25">
      <c r="A63" s="16"/>
      <c r="B63" s="16"/>
      <c r="C63" s="16"/>
      <c r="D63" s="82"/>
      <c r="E63" s="82"/>
      <c r="F63" s="83"/>
      <c r="G63" s="83"/>
      <c r="H63" s="83"/>
      <c r="I63" s="83"/>
      <c r="J63" s="84"/>
      <c r="K63" s="84"/>
      <c r="L63" s="84"/>
      <c r="M63" s="84"/>
      <c r="N63" s="84"/>
      <c r="O63" s="84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</row>
    <row r="64" spans="1:48" ht="15" customHeight="1" x14ac:dyDescent="0.25">
      <c r="A64" s="16"/>
      <c r="B64" s="16"/>
      <c r="C64" s="16"/>
      <c r="D64" s="82"/>
      <c r="E64" s="82"/>
      <c r="F64" s="83"/>
      <c r="G64" s="83"/>
      <c r="H64" s="83"/>
      <c r="I64" s="83"/>
      <c r="J64" s="84"/>
      <c r="K64" s="84"/>
      <c r="L64" s="84"/>
      <c r="M64" s="84"/>
      <c r="N64" s="84"/>
      <c r="O64" s="84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</row>
    <row r="65" spans="1:48" ht="15" customHeight="1" x14ac:dyDescent="0.25">
      <c r="A65" s="16"/>
      <c r="B65" s="16"/>
      <c r="C65" s="16"/>
      <c r="D65" s="82"/>
      <c r="E65" s="82"/>
      <c r="F65" s="83"/>
      <c r="G65" s="83"/>
      <c r="H65" s="83"/>
      <c r="I65" s="83"/>
      <c r="J65" s="84"/>
      <c r="K65" s="84"/>
      <c r="L65" s="84"/>
      <c r="M65" s="84"/>
      <c r="N65" s="84"/>
      <c r="O65" s="84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</row>
    <row r="66" spans="1:48" ht="15" customHeight="1" x14ac:dyDescent="0.25">
      <c r="A66" s="16"/>
      <c r="B66" s="16"/>
      <c r="C66" s="16"/>
      <c r="D66" s="82"/>
      <c r="E66" s="82"/>
      <c r="F66" s="83"/>
      <c r="G66" s="83"/>
      <c r="H66" s="83"/>
      <c r="I66" s="83"/>
      <c r="J66" s="84"/>
      <c r="K66" s="84"/>
      <c r="L66" s="84"/>
      <c r="M66" s="84"/>
      <c r="N66" s="84"/>
      <c r="O66" s="84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</row>
    <row r="67" spans="1:48" ht="15" customHeight="1" x14ac:dyDescent="0.25">
      <c r="A67" s="16"/>
      <c r="B67" s="16"/>
      <c r="C67" s="16"/>
      <c r="D67" s="82"/>
      <c r="E67" s="82"/>
      <c r="F67" s="83"/>
      <c r="G67" s="83"/>
      <c r="H67" s="83"/>
      <c r="I67" s="83"/>
      <c r="J67" s="84"/>
      <c r="K67" s="84"/>
      <c r="L67" s="84"/>
      <c r="M67" s="84"/>
      <c r="N67" s="84"/>
      <c r="O67" s="84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</row>
    <row r="68" spans="1:48" ht="15" customHeight="1" x14ac:dyDescent="0.25">
      <c r="A68" s="16"/>
      <c r="B68" s="16"/>
      <c r="C68" s="16"/>
      <c r="D68" s="82"/>
      <c r="E68" s="82"/>
      <c r="F68" s="83"/>
      <c r="G68" s="83"/>
      <c r="H68" s="83"/>
      <c r="I68" s="83"/>
      <c r="J68" s="84"/>
      <c r="K68" s="84"/>
      <c r="L68" s="84"/>
      <c r="M68" s="84"/>
      <c r="N68" s="84"/>
      <c r="O68" s="84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</row>
    <row r="69" spans="1:48" ht="15" customHeight="1" x14ac:dyDescent="0.25">
      <c r="A69" s="16"/>
      <c r="B69" s="16"/>
      <c r="C69" s="16"/>
      <c r="D69" s="82"/>
      <c r="E69" s="82"/>
      <c r="F69" s="83"/>
      <c r="G69" s="83"/>
      <c r="H69" s="83"/>
      <c r="I69" s="83"/>
      <c r="J69" s="84"/>
      <c r="K69" s="84"/>
      <c r="L69" s="84"/>
      <c r="M69" s="84"/>
      <c r="N69" s="84"/>
      <c r="O69" s="84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</row>
    <row r="70" spans="1:48" ht="15" customHeight="1" x14ac:dyDescent="0.25">
      <c r="A70" s="16"/>
      <c r="B70" s="16"/>
      <c r="C70" s="16"/>
      <c r="D70" s="82"/>
      <c r="E70" s="82"/>
      <c r="F70" s="83"/>
      <c r="G70" s="83"/>
      <c r="H70" s="83"/>
      <c r="I70" s="83"/>
      <c r="J70" s="84"/>
      <c r="K70" s="84"/>
      <c r="L70" s="84"/>
      <c r="M70" s="84"/>
      <c r="N70" s="84"/>
      <c r="O70" s="84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</row>
    <row r="71" spans="1:48" ht="15" customHeight="1" x14ac:dyDescent="0.25">
      <c r="A71" s="16"/>
      <c r="B71" s="16"/>
      <c r="C71" s="16"/>
      <c r="D71" s="82"/>
      <c r="E71" s="82"/>
      <c r="F71" s="83"/>
      <c r="G71" s="83"/>
      <c r="H71" s="83"/>
      <c r="I71" s="83"/>
      <c r="J71" s="84"/>
      <c r="K71" s="84"/>
      <c r="L71" s="84"/>
      <c r="M71" s="84"/>
      <c r="N71" s="84"/>
      <c r="O71" s="84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</row>
    <row r="72" spans="1:48" ht="15" customHeight="1" x14ac:dyDescent="0.25">
      <c r="A72" s="16"/>
      <c r="B72" s="16"/>
      <c r="C72" s="16"/>
      <c r="D72" s="82"/>
      <c r="E72" s="82"/>
      <c r="F72" s="83"/>
      <c r="G72" s="83"/>
      <c r="H72" s="83"/>
      <c r="I72" s="83"/>
      <c r="J72" s="84"/>
      <c r="K72" s="84"/>
      <c r="L72" s="84"/>
      <c r="M72" s="84"/>
      <c r="N72" s="84"/>
      <c r="O72" s="84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</row>
    <row r="73" spans="1:48" ht="15" customHeight="1" x14ac:dyDescent="0.25">
      <c r="A73" s="16"/>
      <c r="B73" s="16"/>
      <c r="C73" s="16"/>
      <c r="D73" s="82"/>
      <c r="E73" s="82"/>
      <c r="F73" s="83"/>
      <c r="G73" s="83"/>
      <c r="H73" s="83"/>
      <c r="I73" s="83"/>
      <c r="J73" s="84"/>
      <c r="K73" s="84"/>
      <c r="L73" s="84"/>
      <c r="M73" s="84"/>
      <c r="N73" s="84"/>
      <c r="O73" s="84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</row>
    <row r="74" spans="1:48" ht="15" customHeight="1" x14ac:dyDescent="0.25">
      <c r="A74" s="16"/>
      <c r="B74" s="16"/>
      <c r="C74" s="16"/>
      <c r="D74" s="82"/>
      <c r="E74" s="82"/>
      <c r="F74" s="83"/>
      <c r="G74" s="83"/>
      <c r="H74" s="83"/>
      <c r="I74" s="83"/>
      <c r="J74" s="84"/>
      <c r="K74" s="84"/>
      <c r="L74" s="84"/>
      <c r="M74" s="84"/>
      <c r="N74" s="84"/>
      <c r="O74" s="84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</row>
    <row r="75" spans="1:48" ht="15" customHeight="1" x14ac:dyDescent="0.25">
      <c r="A75" s="16"/>
      <c r="B75" s="16"/>
      <c r="C75" s="16"/>
      <c r="D75" s="82"/>
      <c r="E75" s="82"/>
      <c r="F75" s="83"/>
      <c r="G75" s="83"/>
      <c r="H75" s="83"/>
      <c r="I75" s="83"/>
      <c r="J75" s="84"/>
      <c r="K75" s="84"/>
      <c r="L75" s="84"/>
      <c r="M75" s="84"/>
      <c r="N75" s="84"/>
      <c r="O75" s="84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</row>
    <row r="76" spans="1:48" ht="15" customHeight="1" x14ac:dyDescent="0.25">
      <c r="A76" s="16"/>
      <c r="B76" s="16"/>
      <c r="C76" s="16"/>
      <c r="D76" s="82"/>
      <c r="E76" s="82"/>
      <c r="F76" s="83"/>
      <c r="G76" s="83"/>
      <c r="H76" s="83"/>
      <c r="I76" s="83"/>
      <c r="J76" s="84"/>
      <c r="K76" s="84"/>
      <c r="L76" s="84"/>
      <c r="M76" s="84"/>
      <c r="N76" s="84"/>
      <c r="O76" s="84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</row>
    <row r="77" spans="1:48" ht="15" customHeight="1" x14ac:dyDescent="0.25">
      <c r="A77" s="16"/>
      <c r="B77" s="16"/>
      <c r="C77" s="16"/>
      <c r="D77" s="82"/>
      <c r="E77" s="82"/>
      <c r="F77" s="83"/>
      <c r="G77" s="83"/>
      <c r="H77" s="83"/>
      <c r="I77" s="83"/>
      <c r="J77" s="84"/>
      <c r="K77" s="84"/>
      <c r="L77" s="84"/>
      <c r="M77" s="84"/>
      <c r="N77" s="84"/>
      <c r="O77" s="84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</row>
    <row r="78" spans="1:48" ht="15" customHeight="1" x14ac:dyDescent="0.25">
      <c r="A78" s="16"/>
      <c r="B78" s="16"/>
      <c r="C78" s="16"/>
      <c r="D78" s="82"/>
      <c r="E78" s="82"/>
      <c r="F78" s="83"/>
      <c r="G78" s="83"/>
      <c r="H78" s="83"/>
      <c r="I78" s="83"/>
      <c r="J78" s="84"/>
      <c r="K78" s="84"/>
      <c r="L78" s="84"/>
      <c r="M78" s="84"/>
      <c r="N78" s="84"/>
      <c r="O78" s="84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</row>
    <row r="79" spans="1:48" ht="15" customHeight="1" x14ac:dyDescent="0.25">
      <c r="A79" s="16"/>
      <c r="B79" s="16"/>
      <c r="C79" s="16"/>
      <c r="D79" s="82"/>
      <c r="E79" s="82"/>
      <c r="F79" s="83"/>
      <c r="G79" s="83"/>
      <c r="H79" s="83"/>
      <c r="I79" s="83"/>
      <c r="J79" s="84"/>
      <c r="K79" s="84"/>
      <c r="L79" s="84"/>
      <c r="M79" s="84"/>
      <c r="N79" s="84"/>
      <c r="O79" s="84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</row>
    <row r="80" spans="1:48" ht="15" customHeight="1" x14ac:dyDescent="0.25">
      <c r="A80" s="16"/>
      <c r="B80" s="16"/>
      <c r="C80" s="16"/>
      <c r="D80" s="82"/>
      <c r="E80" s="82"/>
      <c r="F80" s="83"/>
      <c r="G80" s="83"/>
      <c r="H80" s="83"/>
      <c r="I80" s="83"/>
      <c r="J80" s="84"/>
      <c r="K80" s="84"/>
      <c r="L80" s="84"/>
      <c r="M80" s="84"/>
      <c r="N80" s="84"/>
      <c r="O80" s="84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</row>
    <row r="81" spans="1:48" ht="15" customHeight="1" x14ac:dyDescent="0.25">
      <c r="A81" s="16"/>
      <c r="B81" s="16"/>
      <c r="C81" s="16"/>
      <c r="D81" s="82"/>
      <c r="E81" s="82"/>
      <c r="F81" s="83"/>
      <c r="G81" s="83"/>
      <c r="H81" s="83"/>
      <c r="I81" s="83"/>
      <c r="J81" s="84"/>
      <c r="K81" s="84"/>
      <c r="L81" s="84"/>
      <c r="M81" s="84"/>
      <c r="N81" s="84"/>
      <c r="O81" s="84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</row>
    <row r="82" spans="1:48" ht="15" customHeight="1" x14ac:dyDescent="0.25">
      <c r="A82" s="16"/>
      <c r="B82" s="16"/>
      <c r="C82" s="16"/>
      <c r="D82" s="82"/>
      <c r="E82" s="82"/>
      <c r="F82" s="83"/>
      <c r="G82" s="83"/>
      <c r="H82" s="83"/>
      <c r="I82" s="83"/>
      <c r="J82" s="84"/>
      <c r="K82" s="84"/>
      <c r="L82" s="84"/>
      <c r="M82" s="84"/>
      <c r="N82" s="84"/>
      <c r="O82" s="84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</row>
    <row r="83" spans="1:48" ht="15" customHeight="1" x14ac:dyDescent="0.25">
      <c r="A83" s="16"/>
      <c r="B83" s="16"/>
      <c r="C83" s="16"/>
      <c r="D83" s="82"/>
      <c r="E83" s="82"/>
      <c r="F83" s="83"/>
      <c r="G83" s="83"/>
      <c r="H83" s="83"/>
      <c r="I83" s="83"/>
      <c r="J83" s="84"/>
      <c r="K83" s="84"/>
      <c r="L83" s="84"/>
      <c r="M83" s="84"/>
      <c r="N83" s="84"/>
      <c r="O83" s="84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</row>
    <row r="84" spans="1:48" ht="15" customHeight="1" x14ac:dyDescent="0.25">
      <c r="A84" s="16"/>
      <c r="B84" s="16"/>
      <c r="C84" s="16"/>
      <c r="D84" s="82"/>
      <c r="E84" s="82"/>
      <c r="F84" s="83"/>
      <c r="G84" s="83"/>
      <c r="H84" s="83"/>
      <c r="I84" s="83"/>
      <c r="J84" s="84"/>
      <c r="K84" s="84"/>
      <c r="L84" s="84"/>
      <c r="M84" s="84"/>
      <c r="N84" s="84"/>
      <c r="O84" s="84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</row>
    <row r="85" spans="1:48" ht="15" customHeight="1" x14ac:dyDescent="0.25">
      <c r="A85" s="16"/>
      <c r="B85" s="16"/>
      <c r="C85" s="16"/>
      <c r="D85" s="82"/>
      <c r="E85" s="82"/>
      <c r="F85" s="83"/>
      <c r="G85" s="83"/>
      <c r="H85" s="83"/>
      <c r="I85" s="83"/>
      <c r="J85" s="84"/>
      <c r="K85" s="84"/>
      <c r="L85" s="84"/>
      <c r="M85" s="84"/>
      <c r="N85" s="84"/>
      <c r="O85" s="84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</row>
    <row r="86" spans="1:48" ht="15" customHeight="1" x14ac:dyDescent="0.25">
      <c r="A86" s="16"/>
      <c r="B86" s="16"/>
      <c r="C86" s="16"/>
      <c r="D86" s="82"/>
      <c r="E86" s="82"/>
      <c r="F86" s="83"/>
      <c r="G86" s="83"/>
      <c r="H86" s="83"/>
      <c r="I86" s="83"/>
      <c r="J86" s="84"/>
      <c r="K86" s="84"/>
      <c r="L86" s="84"/>
      <c r="M86" s="84"/>
      <c r="N86" s="84"/>
      <c r="O86" s="84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</row>
    <row r="87" spans="1:48" ht="15" customHeight="1" x14ac:dyDescent="0.25">
      <c r="A87" s="16"/>
      <c r="B87" s="16"/>
      <c r="C87" s="16"/>
      <c r="D87" s="82"/>
      <c r="E87" s="82"/>
      <c r="F87" s="83"/>
      <c r="G87" s="83"/>
      <c r="H87" s="83"/>
      <c r="I87" s="83"/>
      <c r="J87" s="84"/>
      <c r="K87" s="84"/>
      <c r="L87" s="84"/>
      <c r="M87" s="84"/>
      <c r="N87" s="84"/>
      <c r="O87" s="84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</row>
    <row r="88" spans="1:48" ht="15" customHeight="1" x14ac:dyDescent="0.25">
      <c r="A88" s="16"/>
      <c r="B88" s="16"/>
      <c r="C88" s="16"/>
      <c r="D88" s="82"/>
      <c r="E88" s="82"/>
      <c r="F88" s="83"/>
      <c r="G88" s="83"/>
      <c r="H88" s="83"/>
      <c r="I88" s="83"/>
      <c r="J88" s="84"/>
      <c r="K88" s="84"/>
      <c r="L88" s="84"/>
      <c r="M88" s="84"/>
      <c r="N88" s="84"/>
      <c r="O88" s="84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</row>
    <row r="89" spans="1:48" ht="15" customHeight="1" x14ac:dyDescent="0.25">
      <c r="A89" s="16"/>
      <c r="B89" s="16"/>
      <c r="C89" s="16"/>
      <c r="D89" s="82"/>
      <c r="E89" s="82"/>
      <c r="F89" s="83"/>
      <c r="G89" s="83"/>
      <c r="H89" s="83"/>
      <c r="I89" s="83"/>
      <c r="J89" s="84"/>
      <c r="K89" s="84"/>
      <c r="L89" s="84"/>
      <c r="M89" s="84"/>
      <c r="N89" s="84"/>
      <c r="O89" s="84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</row>
    <row r="90" spans="1:48" ht="15" customHeight="1" x14ac:dyDescent="0.25">
      <c r="A90" s="16"/>
      <c r="B90" s="16"/>
      <c r="C90" s="16"/>
      <c r="D90" s="82"/>
      <c r="E90" s="82"/>
      <c r="F90" s="83"/>
      <c r="G90" s="83"/>
      <c r="H90" s="83"/>
      <c r="I90" s="83"/>
      <c r="J90" s="84"/>
      <c r="K90" s="84"/>
      <c r="L90" s="84"/>
      <c r="M90" s="84"/>
      <c r="N90" s="84"/>
      <c r="O90" s="84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</row>
    <row r="91" spans="1:48" ht="15" customHeight="1" x14ac:dyDescent="0.25">
      <c r="A91" s="16"/>
      <c r="B91" s="16"/>
      <c r="C91" s="16"/>
      <c r="D91" s="82"/>
      <c r="E91" s="82"/>
      <c r="F91" s="83"/>
      <c r="G91" s="83"/>
      <c r="H91" s="83"/>
      <c r="I91" s="83"/>
      <c r="J91" s="84"/>
      <c r="K91" s="84"/>
      <c r="L91" s="84"/>
      <c r="M91" s="84"/>
      <c r="N91" s="84"/>
      <c r="O91" s="84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</row>
    <row r="92" spans="1:48" ht="15" customHeight="1" x14ac:dyDescent="0.25">
      <c r="A92" s="16"/>
      <c r="B92" s="16"/>
      <c r="C92" s="16"/>
      <c r="D92" s="82"/>
      <c r="E92" s="82"/>
      <c r="F92" s="83"/>
      <c r="G92" s="83"/>
      <c r="H92" s="83"/>
      <c r="I92" s="83"/>
      <c r="J92" s="84"/>
      <c r="K92" s="84"/>
      <c r="L92" s="84"/>
      <c r="M92" s="84"/>
      <c r="N92" s="84"/>
      <c r="O92" s="84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</row>
    <row r="93" spans="1:48" ht="15" customHeight="1" x14ac:dyDescent="0.25">
      <c r="A93" s="16"/>
      <c r="B93" s="16"/>
      <c r="C93" s="16"/>
      <c r="D93" s="82"/>
      <c r="E93" s="82"/>
      <c r="F93" s="83"/>
      <c r="G93" s="83"/>
      <c r="H93" s="83"/>
      <c r="I93" s="83"/>
      <c r="J93" s="84"/>
      <c r="K93" s="84"/>
      <c r="L93" s="84"/>
      <c r="M93" s="84"/>
      <c r="N93" s="84"/>
      <c r="O93" s="84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</row>
    <row r="94" spans="1:48" ht="15" customHeight="1" x14ac:dyDescent="0.25">
      <c r="A94" s="16"/>
      <c r="B94" s="16"/>
      <c r="C94" s="16"/>
      <c r="D94" s="82"/>
      <c r="E94" s="82"/>
      <c r="F94" s="83"/>
      <c r="G94" s="83"/>
      <c r="H94" s="83"/>
      <c r="I94" s="83"/>
      <c r="J94" s="84"/>
      <c r="K94" s="84"/>
      <c r="L94" s="84"/>
      <c r="M94" s="84"/>
      <c r="N94" s="84"/>
      <c r="O94" s="84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</row>
    <row r="95" spans="1:48" ht="15" customHeight="1" x14ac:dyDescent="0.25">
      <c r="A95" s="16"/>
      <c r="B95" s="16"/>
      <c r="C95" s="16"/>
      <c r="D95" s="82"/>
      <c r="E95" s="82"/>
      <c r="F95" s="83"/>
      <c r="G95" s="83"/>
      <c r="H95" s="83"/>
      <c r="I95" s="83"/>
      <c r="J95" s="84"/>
      <c r="K95" s="84"/>
      <c r="L95" s="84"/>
      <c r="M95" s="84"/>
      <c r="N95" s="84"/>
      <c r="O95" s="84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</row>
    <row r="96" spans="1:48" ht="15" customHeight="1" x14ac:dyDescent="0.25">
      <c r="A96" s="16"/>
      <c r="B96" s="16"/>
      <c r="C96" s="16"/>
      <c r="D96" s="82"/>
      <c r="E96" s="82"/>
      <c r="F96" s="83"/>
      <c r="G96" s="83"/>
      <c r="H96" s="83"/>
      <c r="I96" s="83"/>
      <c r="J96" s="84"/>
      <c r="K96" s="84"/>
      <c r="L96" s="84"/>
      <c r="M96" s="84"/>
      <c r="N96" s="84"/>
      <c r="O96" s="84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</row>
    <row r="97" spans="1:48" ht="15" customHeight="1" x14ac:dyDescent="0.25">
      <c r="A97" s="16"/>
      <c r="B97" s="16"/>
      <c r="C97" s="16"/>
      <c r="D97" s="82"/>
      <c r="E97" s="82"/>
      <c r="F97" s="83"/>
      <c r="G97" s="83"/>
      <c r="H97" s="83"/>
      <c r="I97" s="83"/>
      <c r="J97" s="84"/>
      <c r="K97" s="84"/>
      <c r="L97" s="84"/>
      <c r="M97" s="84"/>
      <c r="N97" s="84"/>
      <c r="O97" s="84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</row>
    <row r="98" spans="1:48" ht="15" customHeight="1" x14ac:dyDescent="0.25">
      <c r="A98" s="16"/>
      <c r="B98" s="16"/>
      <c r="C98" s="16"/>
      <c r="D98" s="82"/>
      <c r="E98" s="82"/>
      <c r="F98" s="83"/>
      <c r="G98" s="83"/>
      <c r="H98" s="83"/>
      <c r="I98" s="83"/>
      <c r="J98" s="84"/>
      <c r="K98" s="84"/>
      <c r="L98" s="84"/>
      <c r="M98" s="84"/>
      <c r="N98" s="84"/>
      <c r="O98" s="84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</row>
    <row r="99" spans="1:48" ht="15" customHeight="1" x14ac:dyDescent="0.25">
      <c r="A99" s="16"/>
      <c r="B99" s="16"/>
      <c r="C99" s="16"/>
      <c r="D99" s="82"/>
      <c r="E99" s="82"/>
      <c r="F99" s="83"/>
      <c r="G99" s="83"/>
      <c r="H99" s="83"/>
      <c r="I99" s="83"/>
      <c r="J99" s="84"/>
      <c r="K99" s="84"/>
      <c r="L99" s="84"/>
      <c r="M99" s="84"/>
      <c r="N99" s="84"/>
      <c r="O99" s="84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</row>
    <row r="100" spans="1:48" ht="15" customHeight="1" x14ac:dyDescent="0.25">
      <c r="A100" s="16"/>
      <c r="B100" s="16"/>
      <c r="C100" s="16"/>
      <c r="D100" s="82"/>
      <c r="E100" s="82"/>
      <c r="F100" s="83"/>
      <c r="G100" s="83"/>
      <c r="H100" s="83"/>
      <c r="I100" s="83"/>
      <c r="J100" s="84"/>
      <c r="K100" s="84"/>
      <c r="L100" s="84"/>
      <c r="M100" s="84"/>
      <c r="N100" s="84"/>
      <c r="O100" s="84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</row>
    <row r="101" spans="1:48" ht="15" customHeight="1" x14ac:dyDescent="0.25">
      <c r="A101" s="16"/>
      <c r="B101" s="16"/>
      <c r="C101" s="16"/>
      <c r="D101" s="82"/>
      <c r="E101" s="82"/>
      <c r="F101" s="83"/>
      <c r="G101" s="83"/>
      <c r="H101" s="83"/>
      <c r="I101" s="83"/>
      <c r="J101" s="84"/>
      <c r="K101" s="84"/>
      <c r="L101" s="84"/>
      <c r="M101" s="84"/>
      <c r="N101" s="84"/>
      <c r="O101" s="84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</row>
    <row r="102" spans="1:48" ht="15" customHeight="1" x14ac:dyDescent="0.25">
      <c r="A102" s="16"/>
      <c r="B102" s="16"/>
      <c r="C102" s="16"/>
      <c r="D102" s="82"/>
      <c r="E102" s="82"/>
      <c r="F102" s="83"/>
      <c r="G102" s="83"/>
      <c r="H102" s="83"/>
      <c r="I102" s="83"/>
      <c r="J102" s="84"/>
      <c r="K102" s="84"/>
      <c r="L102" s="84"/>
      <c r="M102" s="84"/>
      <c r="N102" s="84"/>
      <c r="O102" s="84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</row>
    <row r="103" spans="1:48" ht="15" customHeight="1" x14ac:dyDescent="0.25">
      <c r="A103" s="16"/>
      <c r="B103" s="16"/>
      <c r="C103" s="16"/>
      <c r="D103" s="82"/>
      <c r="E103" s="82"/>
      <c r="F103" s="83"/>
      <c r="G103" s="83"/>
      <c r="H103" s="83"/>
      <c r="I103" s="83"/>
      <c r="J103" s="84"/>
      <c r="K103" s="84"/>
      <c r="L103" s="84"/>
      <c r="M103" s="84"/>
      <c r="N103" s="84"/>
      <c r="O103" s="84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</row>
    <row r="104" spans="1:48" ht="15" customHeight="1" x14ac:dyDescent="0.25">
      <c r="A104" s="16"/>
      <c r="B104" s="16"/>
      <c r="C104" s="16"/>
      <c r="D104" s="82"/>
      <c r="E104" s="82"/>
      <c r="F104" s="83"/>
      <c r="G104" s="83"/>
      <c r="H104" s="83"/>
      <c r="I104" s="83"/>
      <c r="J104" s="84"/>
      <c r="K104" s="84"/>
      <c r="L104" s="84"/>
      <c r="M104" s="84"/>
      <c r="N104" s="84"/>
      <c r="O104" s="84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</row>
    <row r="105" spans="1:48" ht="15" customHeight="1" x14ac:dyDescent="0.25">
      <c r="A105" s="16"/>
      <c r="B105" s="16"/>
      <c r="C105" s="16"/>
      <c r="D105" s="82"/>
      <c r="E105" s="82"/>
      <c r="F105" s="83"/>
      <c r="G105" s="83"/>
      <c r="H105" s="83"/>
      <c r="I105" s="83"/>
      <c r="J105" s="84"/>
      <c r="K105" s="84"/>
      <c r="L105" s="84"/>
      <c r="M105" s="84"/>
      <c r="N105" s="84"/>
      <c r="O105" s="84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</row>
    <row r="106" spans="1:48" ht="15" customHeight="1" x14ac:dyDescent="0.25">
      <c r="A106" s="16"/>
      <c r="B106" s="16"/>
      <c r="C106" s="16"/>
      <c r="D106" s="82"/>
      <c r="E106" s="82"/>
      <c r="F106" s="83"/>
      <c r="G106" s="83"/>
      <c r="H106" s="83"/>
      <c r="I106" s="83"/>
      <c r="J106" s="84"/>
      <c r="K106" s="84"/>
      <c r="L106" s="84"/>
      <c r="M106" s="84"/>
      <c r="N106" s="84"/>
      <c r="O106" s="84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</row>
    <row r="107" spans="1:48" ht="15" customHeight="1" x14ac:dyDescent="0.25">
      <c r="A107" s="16"/>
      <c r="B107" s="16"/>
      <c r="C107" s="16"/>
      <c r="D107" s="82"/>
      <c r="E107" s="82"/>
      <c r="F107" s="83"/>
      <c r="G107" s="83"/>
      <c r="H107" s="83"/>
      <c r="I107" s="83"/>
      <c r="J107" s="84"/>
      <c r="K107" s="84"/>
      <c r="L107" s="84"/>
      <c r="M107" s="84"/>
      <c r="N107" s="84"/>
      <c r="O107" s="84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</row>
    <row r="108" spans="1:48" ht="15" customHeight="1" x14ac:dyDescent="0.25">
      <c r="A108" s="16"/>
      <c r="B108" s="16"/>
      <c r="C108" s="16"/>
      <c r="D108" s="82"/>
      <c r="E108" s="82"/>
      <c r="F108" s="83"/>
      <c r="G108" s="83"/>
      <c r="H108" s="83"/>
      <c r="I108" s="83"/>
      <c r="J108" s="84"/>
      <c r="K108" s="84"/>
      <c r="L108" s="84"/>
      <c r="M108" s="84"/>
      <c r="N108" s="84"/>
      <c r="O108" s="84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</row>
    <row r="109" spans="1:48" ht="15" customHeight="1" x14ac:dyDescent="0.25">
      <c r="A109" s="16"/>
      <c r="B109" s="16"/>
      <c r="C109" s="16"/>
      <c r="D109" s="82"/>
      <c r="E109" s="82"/>
      <c r="F109" s="83"/>
      <c r="G109" s="83"/>
      <c r="H109" s="83"/>
      <c r="I109" s="83"/>
      <c r="J109" s="84"/>
      <c r="K109" s="84"/>
      <c r="L109" s="84"/>
      <c r="M109" s="84"/>
      <c r="N109" s="84"/>
      <c r="O109" s="84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</row>
    <row r="110" spans="1:48" ht="15" customHeight="1" x14ac:dyDescent="0.25">
      <c r="A110" s="16"/>
      <c r="B110" s="16"/>
      <c r="C110" s="16"/>
      <c r="D110" s="82"/>
      <c r="E110" s="82"/>
      <c r="F110" s="83"/>
      <c r="G110" s="83"/>
      <c r="H110" s="83"/>
      <c r="I110" s="83"/>
      <c r="J110" s="84"/>
      <c r="K110" s="84"/>
      <c r="L110" s="84"/>
      <c r="M110" s="84"/>
      <c r="N110" s="84"/>
      <c r="O110" s="84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</row>
    <row r="111" spans="1:48" ht="15" customHeight="1" x14ac:dyDescent="0.25">
      <c r="A111" s="16"/>
      <c r="B111" s="16"/>
      <c r="C111" s="16"/>
      <c r="D111" s="82"/>
      <c r="E111" s="82"/>
      <c r="F111" s="83"/>
      <c r="G111" s="83"/>
      <c r="H111" s="83"/>
      <c r="I111" s="83"/>
      <c r="J111" s="84"/>
      <c r="K111" s="84"/>
      <c r="L111" s="84"/>
      <c r="M111" s="84"/>
      <c r="N111" s="84"/>
      <c r="O111" s="84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</row>
    <row r="112" spans="1:48" ht="15" customHeight="1" x14ac:dyDescent="0.25">
      <c r="A112" s="16"/>
      <c r="B112" s="16"/>
      <c r="C112" s="16"/>
      <c r="D112" s="82"/>
      <c r="E112" s="82"/>
      <c r="F112" s="83"/>
      <c r="G112" s="83"/>
      <c r="H112" s="83"/>
      <c r="I112" s="83"/>
      <c r="J112" s="84"/>
      <c r="K112" s="84"/>
      <c r="L112" s="84"/>
      <c r="M112" s="84"/>
      <c r="N112" s="84"/>
      <c r="O112" s="84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</row>
    <row r="113" spans="1:48" ht="15" customHeight="1" x14ac:dyDescent="0.25">
      <c r="A113" s="16"/>
      <c r="B113" s="16"/>
      <c r="C113" s="16"/>
      <c r="D113" s="82"/>
      <c r="E113" s="82"/>
      <c r="F113" s="83"/>
      <c r="G113" s="83"/>
      <c r="H113" s="83"/>
      <c r="I113" s="83"/>
      <c r="J113" s="84"/>
      <c r="K113" s="84"/>
      <c r="L113" s="84"/>
      <c r="M113" s="84"/>
      <c r="N113" s="84"/>
      <c r="O113" s="84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</row>
    <row r="114" spans="1:48" ht="15" customHeight="1" x14ac:dyDescent="0.25">
      <c r="A114" s="16"/>
      <c r="B114" s="16"/>
      <c r="C114" s="16"/>
      <c r="D114" s="82"/>
      <c r="E114" s="82"/>
      <c r="F114" s="83"/>
      <c r="G114" s="83"/>
      <c r="H114" s="83"/>
      <c r="I114" s="83"/>
      <c r="J114" s="84"/>
      <c r="K114" s="84"/>
      <c r="L114" s="84"/>
      <c r="M114" s="84"/>
      <c r="N114" s="84"/>
      <c r="O114" s="84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</row>
    <row r="115" spans="1:48" ht="15" customHeight="1" x14ac:dyDescent="0.25">
      <c r="A115" s="16"/>
      <c r="B115" s="16"/>
      <c r="C115" s="16"/>
      <c r="D115" s="82"/>
      <c r="E115" s="82"/>
      <c r="F115" s="83"/>
      <c r="G115" s="83"/>
      <c r="H115" s="83"/>
      <c r="I115" s="83"/>
      <c r="J115" s="84"/>
      <c r="K115" s="84"/>
      <c r="L115" s="84"/>
      <c r="M115" s="84"/>
      <c r="N115" s="84"/>
      <c r="O115" s="84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</row>
    <row r="116" spans="1:48" ht="15" customHeight="1" x14ac:dyDescent="0.25">
      <c r="A116" s="16"/>
      <c r="B116" s="16"/>
      <c r="C116" s="16"/>
      <c r="D116" s="82"/>
      <c r="E116" s="82"/>
      <c r="F116" s="83"/>
      <c r="G116" s="83"/>
      <c r="H116" s="83"/>
      <c r="I116" s="83"/>
      <c r="J116" s="84"/>
      <c r="K116" s="84"/>
      <c r="L116" s="84"/>
      <c r="M116" s="84"/>
      <c r="N116" s="84"/>
      <c r="O116" s="84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</row>
    <row r="117" spans="1:48" ht="15" customHeight="1" x14ac:dyDescent="0.25">
      <c r="A117" s="16"/>
      <c r="B117" s="16"/>
      <c r="C117" s="16"/>
      <c r="D117" s="82"/>
      <c r="E117" s="82"/>
      <c r="F117" s="83"/>
      <c r="G117" s="83"/>
      <c r="H117" s="83"/>
      <c r="I117" s="83"/>
      <c r="J117" s="84"/>
      <c r="K117" s="84"/>
      <c r="L117" s="84"/>
      <c r="M117" s="84"/>
      <c r="N117" s="84"/>
      <c r="O117" s="84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</row>
    <row r="118" spans="1:48" ht="15" customHeight="1" x14ac:dyDescent="0.25">
      <c r="A118" s="16"/>
      <c r="B118" s="16"/>
      <c r="C118" s="16"/>
      <c r="D118" s="82"/>
      <c r="E118" s="82"/>
      <c r="F118" s="83"/>
      <c r="G118" s="83"/>
      <c r="H118" s="83"/>
      <c r="I118" s="83"/>
      <c r="J118" s="84"/>
      <c r="K118" s="84"/>
      <c r="L118" s="84"/>
      <c r="M118" s="84"/>
      <c r="N118" s="84"/>
      <c r="O118" s="84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</row>
    <row r="119" spans="1:48" ht="15" customHeight="1" x14ac:dyDescent="0.25">
      <c r="A119" s="16"/>
      <c r="B119" s="16"/>
      <c r="C119" s="16"/>
      <c r="D119" s="82"/>
      <c r="E119" s="82"/>
      <c r="F119" s="83"/>
      <c r="G119" s="83"/>
      <c r="H119" s="83"/>
      <c r="I119" s="83"/>
      <c r="J119" s="84"/>
      <c r="K119" s="84"/>
      <c r="L119" s="84"/>
      <c r="M119" s="84"/>
      <c r="N119" s="84"/>
      <c r="O119" s="84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</row>
    <row r="120" spans="1:48" ht="15" customHeight="1" x14ac:dyDescent="0.25">
      <c r="A120" s="16"/>
      <c r="B120" s="16"/>
      <c r="C120" s="16"/>
      <c r="D120" s="82"/>
      <c r="E120" s="82"/>
      <c r="F120" s="83"/>
      <c r="G120" s="83"/>
      <c r="H120" s="83"/>
      <c r="I120" s="83"/>
      <c r="J120" s="84"/>
      <c r="K120" s="84"/>
      <c r="L120" s="84"/>
      <c r="M120" s="84"/>
      <c r="N120" s="84"/>
      <c r="O120" s="84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</row>
    <row r="121" spans="1:48" ht="15" customHeight="1" x14ac:dyDescent="0.25">
      <c r="A121" s="16"/>
      <c r="B121" s="16"/>
      <c r="C121" s="16"/>
      <c r="D121" s="82"/>
      <c r="E121" s="82"/>
      <c r="F121" s="83"/>
      <c r="G121" s="83"/>
      <c r="H121" s="83"/>
      <c r="I121" s="83"/>
      <c r="J121" s="84"/>
      <c r="K121" s="84"/>
      <c r="L121" s="84"/>
      <c r="M121" s="84"/>
      <c r="N121" s="84"/>
      <c r="O121" s="84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</row>
    <row r="122" spans="1:48" ht="15" customHeight="1" x14ac:dyDescent="0.25">
      <c r="A122" s="16"/>
      <c r="B122" s="16"/>
      <c r="C122" s="16"/>
      <c r="D122" s="82"/>
      <c r="E122" s="82"/>
      <c r="F122" s="83"/>
      <c r="G122" s="83"/>
      <c r="H122" s="83"/>
      <c r="I122" s="83"/>
      <c r="J122" s="84"/>
      <c r="K122" s="84"/>
      <c r="L122" s="84"/>
      <c r="M122" s="84"/>
      <c r="N122" s="84"/>
      <c r="O122" s="84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</row>
    <row r="123" spans="1:48" ht="15" customHeight="1" x14ac:dyDescent="0.25">
      <c r="A123" s="16"/>
      <c r="B123" s="16"/>
      <c r="C123" s="16"/>
      <c r="D123" s="82"/>
      <c r="E123" s="82"/>
      <c r="F123" s="83"/>
      <c r="G123" s="83"/>
      <c r="H123" s="83"/>
      <c r="I123" s="83"/>
      <c r="J123" s="84"/>
      <c r="K123" s="84"/>
      <c r="L123" s="84"/>
      <c r="M123" s="84"/>
      <c r="N123" s="84"/>
      <c r="O123" s="84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</row>
    <row r="124" spans="1:48" ht="15" customHeight="1" x14ac:dyDescent="0.25">
      <c r="A124" s="16"/>
      <c r="B124" s="16"/>
      <c r="C124" s="16"/>
      <c r="D124" s="82"/>
      <c r="E124" s="82"/>
      <c r="F124" s="83"/>
      <c r="G124" s="83"/>
      <c r="H124" s="83"/>
      <c r="I124" s="83"/>
      <c r="J124" s="84"/>
      <c r="K124" s="84"/>
      <c r="L124" s="84"/>
      <c r="M124" s="84"/>
      <c r="N124" s="84"/>
      <c r="O124" s="84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</row>
    <row r="125" spans="1:48" ht="15" customHeight="1" x14ac:dyDescent="0.25">
      <c r="A125" s="16"/>
      <c r="B125" s="16"/>
      <c r="C125" s="16"/>
      <c r="D125" s="82"/>
      <c r="E125" s="82"/>
      <c r="F125" s="83"/>
      <c r="G125" s="83"/>
      <c r="H125" s="83"/>
      <c r="I125" s="83"/>
      <c r="J125" s="84"/>
      <c r="K125" s="84"/>
      <c r="L125" s="84"/>
      <c r="M125" s="84"/>
      <c r="N125" s="84"/>
      <c r="O125" s="84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</row>
    <row r="126" spans="1:48" ht="15" customHeight="1" x14ac:dyDescent="0.25">
      <c r="A126" s="16"/>
      <c r="B126" s="16"/>
      <c r="C126" s="16"/>
      <c r="D126" s="82"/>
      <c r="E126" s="82"/>
      <c r="F126" s="83"/>
      <c r="G126" s="83"/>
      <c r="H126" s="83"/>
      <c r="I126" s="83"/>
      <c r="J126" s="84"/>
      <c r="K126" s="84"/>
      <c r="L126" s="84"/>
      <c r="M126" s="84"/>
      <c r="N126" s="84"/>
      <c r="O126" s="84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</row>
    <row r="127" spans="1:48" ht="15" customHeight="1" x14ac:dyDescent="0.25">
      <c r="A127" s="16"/>
      <c r="B127" s="16"/>
      <c r="C127" s="16"/>
      <c r="D127" s="82"/>
      <c r="E127" s="82"/>
      <c r="F127" s="83"/>
      <c r="G127" s="83"/>
      <c r="H127" s="83"/>
      <c r="I127" s="83"/>
      <c r="J127" s="84"/>
      <c r="K127" s="84"/>
      <c r="L127" s="84"/>
      <c r="M127" s="84"/>
      <c r="N127" s="84"/>
      <c r="O127" s="84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</row>
    <row r="128" spans="1:48" ht="15" customHeight="1" x14ac:dyDescent="0.25">
      <c r="A128" s="16"/>
      <c r="B128" s="16"/>
      <c r="C128" s="16"/>
      <c r="D128" s="82"/>
      <c r="E128" s="82"/>
      <c r="F128" s="83"/>
      <c r="G128" s="83"/>
      <c r="H128" s="83"/>
      <c r="I128" s="83"/>
      <c r="J128" s="84"/>
      <c r="K128" s="84"/>
      <c r="L128" s="84"/>
      <c r="M128" s="84"/>
      <c r="N128" s="84"/>
      <c r="O128" s="84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</row>
    <row r="129" spans="1:48" ht="15" customHeight="1" x14ac:dyDescent="0.25">
      <c r="A129" s="16"/>
      <c r="B129" s="16"/>
      <c r="C129" s="16"/>
      <c r="D129" s="82"/>
      <c r="E129" s="82"/>
      <c r="F129" s="83"/>
      <c r="G129" s="83"/>
      <c r="H129" s="83"/>
      <c r="I129" s="83"/>
      <c r="J129" s="84"/>
      <c r="K129" s="84"/>
      <c r="L129" s="84"/>
      <c r="M129" s="84"/>
      <c r="N129" s="84"/>
      <c r="O129" s="84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</row>
    <row r="130" spans="1:48" ht="15" customHeight="1" x14ac:dyDescent="0.25">
      <c r="A130" s="16"/>
      <c r="B130" s="16"/>
      <c r="C130" s="16"/>
      <c r="D130" s="82"/>
      <c r="E130" s="82"/>
      <c r="F130" s="83"/>
      <c r="G130" s="83"/>
      <c r="H130" s="83"/>
      <c r="I130" s="83"/>
      <c r="J130" s="84"/>
      <c r="K130" s="84"/>
      <c r="L130" s="84"/>
      <c r="M130" s="84"/>
      <c r="N130" s="84"/>
      <c r="O130" s="84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</row>
    <row r="131" spans="1:48" ht="15" customHeight="1" x14ac:dyDescent="0.25">
      <c r="A131" s="16"/>
      <c r="B131" s="16"/>
      <c r="C131" s="16"/>
      <c r="D131" s="82"/>
      <c r="E131" s="82"/>
      <c r="F131" s="83"/>
      <c r="G131" s="83"/>
      <c r="H131" s="83"/>
      <c r="I131" s="83"/>
      <c r="J131" s="84"/>
      <c r="K131" s="84"/>
      <c r="L131" s="84"/>
      <c r="M131" s="84"/>
      <c r="N131" s="84"/>
      <c r="O131" s="84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</row>
    <row r="132" spans="1:48" ht="15" customHeight="1" x14ac:dyDescent="0.25">
      <c r="A132" s="16"/>
      <c r="B132" s="16"/>
      <c r="C132" s="16"/>
      <c r="D132" s="82"/>
      <c r="E132" s="82"/>
      <c r="F132" s="83"/>
      <c r="G132" s="83"/>
      <c r="H132" s="83"/>
      <c r="I132" s="83"/>
      <c r="J132" s="84"/>
      <c r="K132" s="84"/>
      <c r="L132" s="84"/>
      <c r="M132" s="84"/>
      <c r="N132" s="84"/>
      <c r="O132" s="84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</row>
    <row r="133" spans="1:48" ht="15" customHeight="1" x14ac:dyDescent="0.25">
      <c r="A133" s="16"/>
      <c r="B133" s="16"/>
      <c r="C133" s="16"/>
      <c r="D133" s="82"/>
      <c r="E133" s="82"/>
      <c r="F133" s="83"/>
      <c r="G133" s="83"/>
      <c r="H133" s="83"/>
      <c r="I133" s="83"/>
      <c r="J133" s="84"/>
      <c r="K133" s="84"/>
      <c r="L133" s="84"/>
      <c r="M133" s="84"/>
      <c r="N133" s="84"/>
      <c r="O133" s="84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</row>
    <row r="134" spans="1:48" ht="15" customHeight="1" x14ac:dyDescent="0.25">
      <c r="A134" s="16"/>
      <c r="B134" s="16"/>
      <c r="C134" s="16"/>
      <c r="D134" s="82"/>
      <c r="E134" s="82"/>
      <c r="F134" s="83"/>
      <c r="G134" s="83"/>
      <c r="H134" s="83"/>
      <c r="I134" s="83"/>
      <c r="J134" s="84"/>
      <c r="K134" s="84"/>
      <c r="L134" s="84"/>
      <c r="M134" s="84"/>
      <c r="N134" s="84"/>
      <c r="O134" s="84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</row>
    <row r="135" spans="1:48" ht="15" customHeight="1" x14ac:dyDescent="0.25">
      <c r="A135" s="16"/>
      <c r="B135" s="16"/>
      <c r="C135" s="16"/>
      <c r="D135" s="82"/>
      <c r="E135" s="82"/>
      <c r="F135" s="83"/>
      <c r="G135" s="83"/>
      <c r="H135" s="83"/>
      <c r="I135" s="83"/>
      <c r="J135" s="84"/>
      <c r="K135" s="84"/>
      <c r="L135" s="84"/>
      <c r="M135" s="84"/>
      <c r="N135" s="84"/>
      <c r="O135" s="84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</row>
    <row r="136" spans="1:48" ht="15" customHeight="1" x14ac:dyDescent="0.25">
      <c r="A136" s="16"/>
      <c r="B136" s="16"/>
      <c r="C136" s="16"/>
      <c r="D136" s="82"/>
      <c r="E136" s="82"/>
      <c r="F136" s="83"/>
      <c r="G136" s="83"/>
      <c r="H136" s="83"/>
      <c r="I136" s="83"/>
      <c r="J136" s="84"/>
      <c r="K136" s="84"/>
      <c r="L136" s="84"/>
      <c r="M136" s="84"/>
      <c r="N136" s="84"/>
      <c r="O136" s="84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</row>
    <row r="137" spans="1:48" ht="15" customHeight="1" x14ac:dyDescent="0.25">
      <c r="A137" s="16"/>
      <c r="B137" s="16"/>
      <c r="C137" s="16"/>
      <c r="D137" s="82"/>
      <c r="E137" s="82"/>
      <c r="F137" s="83"/>
      <c r="G137" s="83"/>
      <c r="H137" s="83"/>
      <c r="I137" s="83"/>
      <c r="J137" s="84"/>
      <c r="K137" s="84"/>
      <c r="L137" s="84"/>
      <c r="M137" s="84"/>
      <c r="N137" s="84"/>
      <c r="O137" s="84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</row>
    <row r="138" spans="1:48" ht="15" customHeight="1" x14ac:dyDescent="0.25">
      <c r="A138" s="16"/>
      <c r="B138" s="16"/>
      <c r="C138" s="16"/>
      <c r="D138" s="82"/>
      <c r="E138" s="82"/>
      <c r="F138" s="83"/>
      <c r="G138" s="83"/>
      <c r="H138" s="83"/>
      <c r="I138" s="83"/>
      <c r="J138" s="84"/>
      <c r="K138" s="84"/>
      <c r="L138" s="84"/>
      <c r="M138" s="84"/>
      <c r="N138" s="84"/>
      <c r="O138" s="84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</row>
    <row r="139" spans="1:48" ht="15" customHeight="1" x14ac:dyDescent="0.25">
      <c r="A139" s="16"/>
      <c r="B139" s="16"/>
      <c r="C139" s="16"/>
      <c r="D139" s="82"/>
      <c r="E139" s="82"/>
      <c r="F139" s="83"/>
      <c r="G139" s="83"/>
      <c r="H139" s="83"/>
      <c r="I139" s="83"/>
      <c r="J139" s="84"/>
      <c r="K139" s="84"/>
      <c r="L139" s="84"/>
      <c r="M139" s="84"/>
      <c r="N139" s="84"/>
      <c r="O139" s="84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</row>
    <row r="140" spans="1:48" ht="15" customHeight="1" x14ac:dyDescent="0.25">
      <c r="A140" s="16"/>
      <c r="B140" s="16"/>
      <c r="C140" s="16"/>
      <c r="D140" s="82"/>
      <c r="E140" s="82"/>
      <c r="F140" s="83"/>
      <c r="G140" s="83"/>
      <c r="H140" s="83"/>
      <c r="I140" s="83"/>
      <c r="J140" s="84"/>
      <c r="K140" s="84"/>
      <c r="L140" s="84"/>
      <c r="M140" s="84"/>
      <c r="N140" s="84"/>
      <c r="O140" s="84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</row>
    <row r="141" spans="1:48" ht="15" customHeight="1" x14ac:dyDescent="0.25">
      <c r="A141" s="16"/>
      <c r="B141" s="16"/>
      <c r="C141" s="16"/>
      <c r="D141" s="82"/>
      <c r="E141" s="82"/>
      <c r="F141" s="83"/>
      <c r="G141" s="83"/>
      <c r="H141" s="83"/>
      <c r="I141" s="83"/>
      <c r="J141" s="84"/>
      <c r="K141" s="84"/>
      <c r="L141" s="84"/>
      <c r="M141" s="84"/>
      <c r="N141" s="84"/>
      <c r="O141" s="84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</row>
    <row r="142" spans="1:48" ht="15" customHeight="1" x14ac:dyDescent="0.25">
      <c r="A142" s="16"/>
      <c r="B142" s="16"/>
      <c r="C142" s="16"/>
      <c r="D142" s="82"/>
      <c r="E142" s="82"/>
      <c r="F142" s="83"/>
      <c r="G142" s="83"/>
      <c r="H142" s="83"/>
      <c r="I142" s="83"/>
      <c r="J142" s="84"/>
      <c r="K142" s="84"/>
      <c r="L142" s="84"/>
      <c r="M142" s="84"/>
      <c r="N142" s="84"/>
      <c r="O142" s="84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</row>
    <row r="143" spans="1:48" ht="15" customHeight="1" x14ac:dyDescent="0.25">
      <c r="A143" s="16"/>
      <c r="B143" s="16"/>
      <c r="C143" s="16"/>
      <c r="D143" s="82"/>
      <c r="E143" s="82"/>
      <c r="F143" s="83"/>
      <c r="G143" s="83"/>
      <c r="H143" s="83"/>
      <c r="I143" s="83"/>
      <c r="J143" s="84"/>
      <c r="K143" s="84"/>
      <c r="L143" s="84"/>
      <c r="M143" s="84"/>
      <c r="N143" s="84"/>
      <c r="O143" s="84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</row>
    <row r="144" spans="1:48" ht="15" customHeight="1" x14ac:dyDescent="0.25">
      <c r="A144" s="16"/>
      <c r="B144" s="16"/>
      <c r="C144" s="16"/>
      <c r="D144" s="82"/>
      <c r="E144" s="82"/>
      <c r="F144" s="83"/>
      <c r="G144" s="83"/>
      <c r="H144" s="83"/>
      <c r="I144" s="83"/>
      <c r="J144" s="84"/>
      <c r="K144" s="84"/>
      <c r="L144" s="84"/>
      <c r="M144" s="84"/>
      <c r="N144" s="84"/>
      <c r="O144" s="84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</row>
    <row r="145" spans="1:48" ht="15" customHeight="1" x14ac:dyDescent="0.25">
      <c r="A145" s="16"/>
      <c r="B145" s="16"/>
      <c r="C145" s="16"/>
      <c r="D145" s="82"/>
      <c r="E145" s="82"/>
      <c r="F145" s="83"/>
      <c r="G145" s="83"/>
      <c r="H145" s="83"/>
      <c r="I145" s="83"/>
      <c r="J145" s="84"/>
      <c r="K145" s="84"/>
      <c r="L145" s="84"/>
      <c r="M145" s="84"/>
      <c r="N145" s="84"/>
      <c r="O145" s="84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</row>
    <row r="146" spans="1:48" ht="15" customHeight="1" x14ac:dyDescent="0.25">
      <c r="A146" s="16"/>
      <c r="B146" s="16"/>
      <c r="C146" s="16"/>
      <c r="D146" s="82"/>
      <c r="E146" s="82"/>
      <c r="F146" s="83"/>
      <c r="G146" s="83"/>
      <c r="H146" s="83"/>
      <c r="I146" s="83"/>
      <c r="J146" s="84"/>
      <c r="K146" s="84"/>
      <c r="L146" s="84"/>
      <c r="M146" s="84"/>
      <c r="N146" s="84"/>
      <c r="O146" s="84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</row>
    <row r="147" spans="1:48" ht="15" customHeight="1" x14ac:dyDescent="0.25">
      <c r="A147" s="16"/>
      <c r="B147" s="16"/>
      <c r="C147" s="16"/>
      <c r="D147" s="82"/>
      <c r="E147" s="82"/>
      <c r="F147" s="83"/>
      <c r="G147" s="83"/>
      <c r="H147" s="83"/>
      <c r="I147" s="83"/>
      <c r="J147" s="84"/>
      <c r="K147" s="84"/>
      <c r="L147" s="84"/>
      <c r="M147" s="84"/>
      <c r="N147" s="84"/>
      <c r="O147" s="84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</row>
    <row r="148" spans="1:48" ht="15" customHeight="1" x14ac:dyDescent="0.25">
      <c r="A148" s="16"/>
      <c r="B148" s="16"/>
      <c r="C148" s="16"/>
      <c r="D148" s="82"/>
      <c r="E148" s="82"/>
      <c r="F148" s="83"/>
      <c r="G148" s="83"/>
      <c r="H148" s="83"/>
      <c r="I148" s="83"/>
      <c r="J148" s="84"/>
      <c r="K148" s="84"/>
      <c r="L148" s="84"/>
      <c r="M148" s="84"/>
      <c r="N148" s="84"/>
      <c r="O148" s="84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</row>
    <row r="149" spans="1:48" ht="15" customHeight="1" x14ac:dyDescent="0.25">
      <c r="A149" s="16"/>
      <c r="B149" s="16"/>
      <c r="C149" s="16"/>
      <c r="D149" s="82"/>
      <c r="E149" s="82"/>
      <c r="F149" s="83"/>
      <c r="G149" s="83"/>
      <c r="H149" s="83"/>
      <c r="I149" s="83"/>
      <c r="J149" s="84"/>
      <c r="K149" s="84"/>
      <c r="L149" s="84"/>
      <c r="M149" s="84"/>
      <c r="N149" s="84"/>
      <c r="O149" s="84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</row>
    <row r="150" spans="1:48" ht="15" customHeight="1" x14ac:dyDescent="0.25">
      <c r="A150" s="16"/>
      <c r="B150" s="16"/>
      <c r="C150" s="16"/>
      <c r="D150" s="82"/>
      <c r="E150" s="82"/>
      <c r="F150" s="83"/>
      <c r="G150" s="83"/>
      <c r="H150" s="83"/>
      <c r="I150" s="83"/>
      <c r="J150" s="84"/>
      <c r="K150" s="84"/>
      <c r="L150" s="84"/>
      <c r="M150" s="84"/>
      <c r="N150" s="84"/>
      <c r="O150" s="84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</row>
    <row r="151" spans="1:48" ht="15" customHeight="1" x14ac:dyDescent="0.25">
      <c r="A151" s="16"/>
      <c r="B151" s="16"/>
      <c r="C151" s="16"/>
      <c r="D151" s="82"/>
      <c r="E151" s="82"/>
      <c r="F151" s="83"/>
      <c r="G151" s="83"/>
      <c r="H151" s="83"/>
      <c r="I151" s="83"/>
      <c r="J151" s="84"/>
      <c r="K151" s="84"/>
      <c r="L151" s="84"/>
      <c r="M151" s="84"/>
      <c r="N151" s="84"/>
      <c r="O151" s="84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</row>
    <row r="152" spans="1:48" ht="15" customHeight="1" x14ac:dyDescent="0.25">
      <c r="A152" s="16"/>
      <c r="B152" s="16"/>
      <c r="C152" s="16"/>
      <c r="D152" s="82"/>
      <c r="E152" s="82"/>
      <c r="F152" s="83"/>
      <c r="G152" s="83"/>
      <c r="H152" s="83"/>
      <c r="I152" s="83"/>
      <c r="J152" s="84"/>
      <c r="K152" s="84"/>
      <c r="L152" s="84"/>
      <c r="M152" s="84"/>
      <c r="N152" s="84"/>
      <c r="O152" s="84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</row>
    <row r="153" spans="1:48" ht="15" customHeight="1" x14ac:dyDescent="0.25">
      <c r="A153" s="16"/>
      <c r="B153" s="16"/>
      <c r="C153" s="16"/>
      <c r="D153" s="82"/>
      <c r="E153" s="82"/>
      <c r="F153" s="83"/>
      <c r="G153" s="83"/>
      <c r="H153" s="83"/>
      <c r="I153" s="83"/>
      <c r="J153" s="84"/>
      <c r="K153" s="84"/>
      <c r="L153" s="84"/>
      <c r="M153" s="84"/>
      <c r="N153" s="84"/>
      <c r="O153" s="84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</row>
    <row r="154" spans="1:48" ht="15" customHeight="1" x14ac:dyDescent="0.25">
      <c r="A154" s="16"/>
      <c r="B154" s="16"/>
      <c r="C154" s="16"/>
      <c r="D154" s="82"/>
      <c r="E154" s="82"/>
      <c r="F154" s="83"/>
      <c r="G154" s="83"/>
      <c r="H154" s="83"/>
      <c r="I154" s="83"/>
      <c r="J154" s="84"/>
      <c r="K154" s="84"/>
      <c r="L154" s="84"/>
      <c r="M154" s="84"/>
      <c r="N154" s="84"/>
      <c r="O154" s="84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</row>
    <row r="155" spans="1:48" ht="15" customHeight="1" x14ac:dyDescent="0.25">
      <c r="A155" s="16"/>
      <c r="B155" s="16"/>
      <c r="C155" s="16"/>
      <c r="D155" s="82"/>
      <c r="E155" s="82"/>
      <c r="F155" s="83"/>
      <c r="G155" s="83"/>
      <c r="H155" s="83"/>
      <c r="I155" s="83"/>
      <c r="J155" s="84"/>
      <c r="K155" s="84"/>
      <c r="L155" s="84"/>
      <c r="M155" s="84"/>
      <c r="N155" s="84"/>
      <c r="O155" s="84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</row>
    <row r="156" spans="1:48" ht="15" customHeight="1" x14ac:dyDescent="0.25">
      <c r="A156" s="16"/>
      <c r="B156" s="16"/>
      <c r="C156" s="16"/>
      <c r="D156" s="82"/>
      <c r="E156" s="82"/>
      <c r="F156" s="83"/>
      <c r="G156" s="83"/>
      <c r="H156" s="83"/>
      <c r="I156" s="83"/>
      <c r="J156" s="84"/>
      <c r="K156" s="84"/>
      <c r="L156" s="84"/>
      <c r="M156" s="84"/>
      <c r="N156" s="84"/>
      <c r="O156" s="84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</row>
    <row r="157" spans="1:48" ht="15" customHeight="1" x14ac:dyDescent="0.25">
      <c r="A157" s="16"/>
      <c r="B157" s="16"/>
      <c r="C157" s="16"/>
      <c r="D157" s="82"/>
      <c r="E157" s="82"/>
      <c r="F157" s="83"/>
      <c r="G157" s="83"/>
      <c r="H157" s="83"/>
      <c r="I157" s="83"/>
      <c r="J157" s="84"/>
      <c r="K157" s="84"/>
      <c r="L157" s="84"/>
      <c r="M157" s="84"/>
      <c r="N157" s="84"/>
      <c r="O157" s="84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</row>
    <row r="158" spans="1:48" ht="15" customHeight="1" x14ac:dyDescent="0.25">
      <c r="A158" s="16"/>
      <c r="B158" s="16"/>
      <c r="C158" s="16"/>
      <c r="D158" s="82"/>
      <c r="E158" s="82"/>
      <c r="F158" s="83"/>
      <c r="G158" s="83"/>
      <c r="H158" s="83"/>
      <c r="I158" s="83"/>
      <c r="J158" s="84"/>
      <c r="K158" s="84"/>
      <c r="L158" s="84"/>
      <c r="M158" s="84"/>
      <c r="N158" s="84"/>
      <c r="O158" s="84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</row>
    <row r="159" spans="1:48" ht="15" customHeight="1" x14ac:dyDescent="0.25">
      <c r="A159" s="16"/>
      <c r="B159" s="16"/>
      <c r="C159" s="16"/>
      <c r="D159" s="82"/>
      <c r="E159" s="82"/>
      <c r="F159" s="83"/>
      <c r="G159" s="83"/>
      <c r="H159" s="83"/>
      <c r="I159" s="83"/>
      <c r="J159" s="84"/>
      <c r="K159" s="84"/>
      <c r="L159" s="84"/>
      <c r="M159" s="84"/>
      <c r="N159" s="84"/>
      <c r="O159" s="84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</row>
    <row r="160" spans="1:48" ht="15" customHeight="1" x14ac:dyDescent="0.25">
      <c r="A160" s="16"/>
      <c r="B160" s="16"/>
      <c r="C160" s="16"/>
      <c r="D160" s="82"/>
      <c r="E160" s="82"/>
      <c r="F160" s="83"/>
      <c r="G160" s="83"/>
      <c r="H160" s="83"/>
      <c r="I160" s="83"/>
      <c r="J160" s="84"/>
      <c r="K160" s="84"/>
      <c r="L160" s="84"/>
      <c r="M160" s="84"/>
      <c r="N160" s="84"/>
      <c r="O160" s="84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</row>
    <row r="161" spans="1:48" ht="15" customHeight="1" x14ac:dyDescent="0.25">
      <c r="A161" s="16"/>
      <c r="B161" s="16"/>
      <c r="C161" s="16"/>
      <c r="D161" s="82"/>
      <c r="E161" s="82"/>
      <c r="F161" s="83"/>
      <c r="G161" s="83"/>
      <c r="H161" s="83"/>
      <c r="I161" s="83"/>
      <c r="J161" s="84"/>
      <c r="K161" s="84"/>
      <c r="L161" s="84"/>
      <c r="M161" s="84"/>
      <c r="N161" s="84"/>
      <c r="O161" s="84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</row>
    <row r="162" spans="1:48" ht="15" customHeight="1" x14ac:dyDescent="0.25">
      <c r="A162" s="16"/>
      <c r="B162" s="16"/>
      <c r="C162" s="16"/>
      <c r="D162" s="82"/>
      <c r="E162" s="82"/>
      <c r="F162" s="83"/>
      <c r="G162" s="83"/>
      <c r="H162" s="83"/>
      <c r="I162" s="83"/>
      <c r="J162" s="84"/>
      <c r="K162" s="84"/>
      <c r="L162" s="84"/>
      <c r="M162" s="84"/>
      <c r="N162" s="84"/>
      <c r="O162" s="84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</row>
    <row r="163" spans="1:48" ht="15" customHeight="1" x14ac:dyDescent="0.25">
      <c r="A163" s="16"/>
      <c r="B163" s="16"/>
      <c r="C163" s="16"/>
      <c r="D163" s="82"/>
      <c r="E163" s="82"/>
      <c r="F163" s="83"/>
      <c r="G163" s="83"/>
      <c r="H163" s="83"/>
      <c r="I163" s="83"/>
      <c r="J163" s="84"/>
      <c r="K163" s="84"/>
      <c r="L163" s="84"/>
      <c r="M163" s="84"/>
      <c r="N163" s="84"/>
      <c r="O163" s="84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</row>
    <row r="164" spans="1:48" ht="15" customHeight="1" x14ac:dyDescent="0.25">
      <c r="A164" s="16"/>
      <c r="B164" s="16"/>
      <c r="C164" s="16"/>
      <c r="D164" s="82"/>
      <c r="E164" s="82"/>
      <c r="F164" s="83"/>
      <c r="G164" s="83"/>
      <c r="H164" s="83"/>
      <c r="I164" s="83"/>
      <c r="J164" s="84"/>
      <c r="K164" s="84"/>
      <c r="L164" s="84"/>
      <c r="M164" s="84"/>
      <c r="N164" s="84"/>
      <c r="O164" s="84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</row>
    <row r="165" spans="1:48" ht="15" customHeight="1" x14ac:dyDescent="0.25">
      <c r="A165" s="16"/>
      <c r="B165" s="16"/>
      <c r="C165" s="16"/>
      <c r="D165" s="82"/>
      <c r="E165" s="82"/>
      <c r="F165" s="83"/>
      <c r="G165" s="83"/>
      <c r="H165" s="83"/>
      <c r="I165" s="83"/>
      <c r="J165" s="84"/>
      <c r="K165" s="84"/>
      <c r="L165" s="84"/>
      <c r="M165" s="84"/>
      <c r="N165" s="84"/>
      <c r="O165" s="84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</row>
    <row r="166" spans="1:48" ht="15" customHeight="1" x14ac:dyDescent="0.25">
      <c r="A166" s="16"/>
      <c r="B166" s="16"/>
      <c r="C166" s="16"/>
      <c r="D166" s="82"/>
      <c r="E166" s="82"/>
      <c r="F166" s="83"/>
      <c r="G166" s="83"/>
      <c r="H166" s="83"/>
      <c r="I166" s="83"/>
      <c r="J166" s="84"/>
      <c r="K166" s="84"/>
      <c r="L166" s="84"/>
      <c r="M166" s="84"/>
      <c r="N166" s="84"/>
      <c r="O166" s="84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</row>
    <row r="167" spans="1:48" ht="15" customHeight="1" x14ac:dyDescent="0.25">
      <c r="A167" s="16"/>
      <c r="B167" s="16"/>
      <c r="C167" s="16"/>
      <c r="D167" s="82"/>
      <c r="E167" s="82"/>
      <c r="F167" s="83"/>
      <c r="G167" s="83"/>
      <c r="H167" s="83"/>
      <c r="I167" s="83"/>
      <c r="J167" s="84"/>
      <c r="K167" s="84"/>
      <c r="L167" s="84"/>
      <c r="M167" s="84"/>
      <c r="N167" s="84"/>
      <c r="O167" s="84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</row>
    <row r="168" spans="1:48" ht="15" customHeight="1" x14ac:dyDescent="0.25">
      <c r="A168" s="16"/>
      <c r="B168" s="16"/>
      <c r="C168" s="16"/>
      <c r="D168" s="82"/>
      <c r="E168" s="82"/>
      <c r="F168" s="83"/>
      <c r="G168" s="83"/>
      <c r="H168" s="83"/>
      <c r="I168" s="83"/>
      <c r="J168" s="84"/>
      <c r="K168" s="84"/>
      <c r="L168" s="84"/>
      <c r="M168" s="84"/>
      <c r="N168" s="84"/>
      <c r="O168" s="84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</row>
    <row r="169" spans="1:48" ht="15" customHeight="1" x14ac:dyDescent="0.25">
      <c r="A169" s="16"/>
      <c r="B169" s="16"/>
      <c r="C169" s="16"/>
      <c r="D169" s="82"/>
      <c r="E169" s="82"/>
      <c r="F169" s="83"/>
      <c r="G169" s="83"/>
      <c r="H169" s="83"/>
      <c r="I169" s="83"/>
      <c r="J169" s="84"/>
      <c r="K169" s="84"/>
      <c r="L169" s="84"/>
      <c r="M169" s="84"/>
      <c r="N169" s="84"/>
      <c r="O169" s="84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</row>
    <row r="170" spans="1:48" ht="15" customHeight="1" x14ac:dyDescent="0.25">
      <c r="A170" s="16"/>
      <c r="B170" s="16"/>
      <c r="C170" s="16"/>
      <c r="D170" s="82"/>
      <c r="E170" s="82"/>
      <c r="F170" s="83"/>
      <c r="G170" s="83"/>
      <c r="H170" s="83"/>
      <c r="I170" s="83"/>
      <c r="J170" s="84"/>
      <c r="K170" s="84"/>
      <c r="L170" s="84"/>
      <c r="M170" s="84"/>
      <c r="N170" s="84"/>
      <c r="O170" s="84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</row>
    <row r="171" spans="1:48" ht="15" customHeight="1" x14ac:dyDescent="0.25">
      <c r="A171" s="16"/>
      <c r="B171" s="16"/>
      <c r="C171" s="16"/>
      <c r="D171" s="82"/>
      <c r="E171" s="82"/>
      <c r="F171" s="83"/>
      <c r="G171" s="83"/>
      <c r="H171" s="83"/>
      <c r="I171" s="83"/>
      <c r="J171" s="84"/>
      <c r="K171" s="84"/>
      <c r="L171" s="84"/>
      <c r="M171" s="84"/>
      <c r="N171" s="84"/>
      <c r="O171" s="84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</row>
    <row r="172" spans="1:48" ht="15" customHeight="1" x14ac:dyDescent="0.25">
      <c r="A172" s="16"/>
      <c r="B172" s="16"/>
      <c r="C172" s="16"/>
      <c r="D172" s="82"/>
      <c r="E172" s="82"/>
      <c r="F172" s="83"/>
      <c r="G172" s="83"/>
      <c r="H172" s="83"/>
      <c r="I172" s="83"/>
      <c r="J172" s="84"/>
      <c r="K172" s="84"/>
      <c r="L172" s="84"/>
      <c r="M172" s="84"/>
      <c r="N172" s="84"/>
      <c r="O172" s="84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</row>
    <row r="173" spans="1:48" ht="15" customHeight="1" x14ac:dyDescent="0.25">
      <c r="A173" s="16"/>
      <c r="B173" s="16"/>
      <c r="C173" s="16"/>
      <c r="D173" s="82"/>
      <c r="E173" s="82"/>
      <c r="F173" s="83"/>
      <c r="G173" s="83"/>
      <c r="H173" s="83"/>
      <c r="I173" s="83"/>
      <c r="J173" s="84"/>
      <c r="K173" s="84"/>
      <c r="L173" s="84"/>
      <c r="M173" s="84"/>
      <c r="N173" s="84"/>
      <c r="O173" s="84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</row>
    <row r="174" spans="1:48" ht="15" customHeight="1" x14ac:dyDescent="0.25">
      <c r="A174" s="16"/>
      <c r="B174" s="16"/>
      <c r="C174" s="16"/>
      <c r="D174" s="82"/>
      <c r="E174" s="82"/>
      <c r="F174" s="83"/>
      <c r="G174" s="83"/>
      <c r="H174" s="83"/>
      <c r="I174" s="83"/>
      <c r="J174" s="84"/>
      <c r="K174" s="84"/>
      <c r="L174" s="84"/>
      <c r="M174" s="84"/>
      <c r="N174" s="84"/>
      <c r="O174" s="84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</row>
    <row r="175" spans="1:48" ht="15" customHeight="1" x14ac:dyDescent="0.25">
      <c r="A175" s="16"/>
      <c r="B175" s="16"/>
      <c r="C175" s="16"/>
      <c r="D175" s="82"/>
      <c r="E175" s="82"/>
      <c r="F175" s="83"/>
      <c r="G175" s="83"/>
      <c r="H175" s="83"/>
      <c r="I175" s="83"/>
      <c r="J175" s="84"/>
      <c r="K175" s="84"/>
      <c r="L175" s="84"/>
      <c r="M175" s="84"/>
      <c r="N175" s="84"/>
      <c r="O175" s="84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</row>
    <row r="176" spans="1:48" ht="15" customHeight="1" x14ac:dyDescent="0.25">
      <c r="A176" s="16"/>
      <c r="B176" s="16"/>
      <c r="C176" s="16"/>
      <c r="D176" s="82"/>
      <c r="E176" s="82"/>
      <c r="F176" s="83"/>
      <c r="G176" s="83"/>
      <c r="H176" s="83"/>
      <c r="I176" s="83"/>
      <c r="J176" s="84"/>
      <c r="K176" s="84"/>
      <c r="L176" s="84"/>
      <c r="M176" s="84"/>
      <c r="N176" s="84"/>
      <c r="O176" s="84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</row>
    <row r="177" spans="1:48" ht="15" customHeight="1" x14ac:dyDescent="0.25">
      <c r="A177" s="16"/>
      <c r="B177" s="16"/>
      <c r="C177" s="16"/>
      <c r="D177" s="82"/>
      <c r="E177" s="82"/>
      <c r="F177" s="83"/>
      <c r="G177" s="83"/>
      <c r="H177" s="83"/>
      <c r="I177" s="83"/>
      <c r="J177" s="84"/>
      <c r="K177" s="84"/>
      <c r="L177" s="84"/>
      <c r="M177" s="84"/>
      <c r="N177" s="84"/>
      <c r="O177" s="84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</row>
    <row r="178" spans="1:48" ht="15" customHeight="1" x14ac:dyDescent="0.25">
      <c r="A178" s="16"/>
      <c r="B178" s="16"/>
      <c r="C178" s="16"/>
      <c r="D178" s="82"/>
      <c r="E178" s="82"/>
      <c r="F178" s="83"/>
      <c r="G178" s="83"/>
      <c r="H178" s="83"/>
      <c r="I178" s="83"/>
      <c r="J178" s="84"/>
      <c r="K178" s="84"/>
      <c r="L178" s="84"/>
      <c r="M178" s="84"/>
      <c r="N178" s="84"/>
      <c r="O178" s="84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</row>
    <row r="179" spans="1:48" ht="15" customHeight="1" x14ac:dyDescent="0.25">
      <c r="A179" s="16"/>
      <c r="B179" s="16"/>
      <c r="C179" s="16"/>
      <c r="D179" s="82"/>
      <c r="E179" s="82"/>
      <c r="F179" s="83"/>
      <c r="G179" s="83"/>
      <c r="H179" s="83"/>
      <c r="I179" s="83"/>
      <c r="J179" s="84"/>
      <c r="K179" s="84"/>
      <c r="L179" s="84"/>
      <c r="M179" s="84"/>
      <c r="N179" s="84"/>
      <c r="O179" s="84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</row>
    <row r="180" spans="1:48" ht="15" customHeight="1" x14ac:dyDescent="0.25">
      <c r="A180" s="16"/>
      <c r="B180" s="16"/>
      <c r="C180" s="16"/>
      <c r="D180" s="82"/>
      <c r="E180" s="82"/>
      <c r="F180" s="83"/>
      <c r="G180" s="83"/>
      <c r="H180" s="83"/>
      <c r="I180" s="83"/>
      <c r="J180" s="84"/>
      <c r="K180" s="84"/>
      <c r="L180" s="84"/>
      <c r="M180" s="84"/>
      <c r="N180" s="84"/>
      <c r="O180" s="84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</row>
    <row r="181" spans="1:48" ht="15" customHeight="1" x14ac:dyDescent="0.25">
      <c r="A181" s="16"/>
      <c r="B181" s="16"/>
      <c r="C181" s="16"/>
      <c r="D181" s="82"/>
      <c r="E181" s="82"/>
      <c r="F181" s="83"/>
      <c r="G181" s="83"/>
      <c r="H181" s="83"/>
      <c r="I181" s="83"/>
      <c r="J181" s="84"/>
      <c r="K181" s="84"/>
      <c r="L181" s="84"/>
      <c r="M181" s="84"/>
      <c r="N181" s="84"/>
      <c r="O181" s="84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</row>
    <row r="182" spans="1:48" ht="15" customHeight="1" x14ac:dyDescent="0.25">
      <c r="A182" s="16"/>
      <c r="B182" s="16"/>
      <c r="C182" s="16"/>
      <c r="D182" s="82"/>
      <c r="E182" s="82"/>
      <c r="F182" s="83"/>
      <c r="G182" s="83"/>
      <c r="H182" s="83"/>
      <c r="I182" s="83"/>
      <c r="J182" s="84"/>
      <c r="K182" s="84"/>
      <c r="L182" s="84"/>
      <c r="M182" s="84"/>
      <c r="N182" s="84"/>
      <c r="O182" s="84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</row>
    <row r="183" spans="1:48" ht="15" customHeight="1" x14ac:dyDescent="0.25">
      <c r="A183" s="16"/>
      <c r="B183" s="16"/>
      <c r="C183" s="16"/>
      <c r="D183" s="82"/>
      <c r="E183" s="82"/>
      <c r="F183" s="83"/>
      <c r="G183" s="83"/>
      <c r="H183" s="83"/>
      <c r="I183" s="83"/>
      <c r="J183" s="84"/>
      <c r="K183" s="84"/>
      <c r="L183" s="84"/>
      <c r="M183" s="84"/>
      <c r="N183" s="84"/>
      <c r="O183" s="84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</row>
    <row r="184" spans="1:48" ht="15" customHeight="1" x14ac:dyDescent="0.25">
      <c r="A184" s="16"/>
      <c r="B184" s="16"/>
      <c r="C184" s="16"/>
      <c r="D184" s="82"/>
      <c r="E184" s="82"/>
      <c r="F184" s="83"/>
      <c r="G184" s="83"/>
      <c r="H184" s="83"/>
      <c r="I184" s="83"/>
      <c r="J184" s="84"/>
      <c r="K184" s="84"/>
      <c r="L184" s="84"/>
      <c r="M184" s="84"/>
      <c r="N184" s="84"/>
      <c r="O184" s="84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</row>
    <row r="185" spans="1:48" ht="15" customHeight="1" x14ac:dyDescent="0.25">
      <c r="A185" s="16"/>
      <c r="B185" s="16"/>
      <c r="C185" s="16"/>
      <c r="D185" s="82"/>
      <c r="E185" s="82"/>
      <c r="F185" s="83"/>
      <c r="G185" s="83"/>
      <c r="H185" s="83"/>
      <c r="I185" s="83"/>
      <c r="J185" s="84"/>
      <c r="K185" s="84"/>
      <c r="L185" s="84"/>
      <c r="M185" s="84"/>
      <c r="N185" s="84"/>
      <c r="O185" s="84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</row>
    <row r="186" spans="1:48" ht="15" customHeight="1" x14ac:dyDescent="0.25">
      <c r="A186" s="16"/>
      <c r="B186" s="16"/>
      <c r="C186" s="16"/>
      <c r="D186" s="82"/>
      <c r="E186" s="82"/>
      <c r="F186" s="83"/>
      <c r="G186" s="83"/>
      <c r="H186" s="83"/>
      <c r="I186" s="83"/>
      <c r="J186" s="84"/>
      <c r="K186" s="84"/>
      <c r="L186" s="84"/>
      <c r="M186" s="84"/>
      <c r="N186" s="84"/>
      <c r="O186" s="84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</row>
    <row r="187" spans="1:48" ht="15" customHeight="1" x14ac:dyDescent="0.25">
      <c r="A187" s="16"/>
      <c r="B187" s="16"/>
      <c r="C187" s="16"/>
      <c r="D187" s="82"/>
      <c r="E187" s="82"/>
      <c r="F187" s="83"/>
      <c r="G187" s="83"/>
      <c r="H187" s="83"/>
      <c r="I187" s="83"/>
      <c r="J187" s="84"/>
      <c r="K187" s="84"/>
      <c r="L187" s="84"/>
      <c r="M187" s="84"/>
      <c r="N187" s="84"/>
      <c r="O187" s="84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</row>
    <row r="188" spans="1:48" ht="15" customHeight="1" x14ac:dyDescent="0.25">
      <c r="A188" s="16"/>
      <c r="B188" s="16"/>
      <c r="C188" s="16"/>
      <c r="D188" s="82"/>
      <c r="E188" s="82"/>
      <c r="F188" s="83"/>
      <c r="G188" s="83"/>
      <c r="H188" s="83"/>
      <c r="I188" s="83"/>
      <c r="J188" s="84"/>
      <c r="K188" s="84"/>
      <c r="L188" s="84"/>
      <c r="M188" s="84"/>
      <c r="N188" s="84"/>
      <c r="O188" s="84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</row>
    <row r="189" spans="1:48" ht="15" customHeight="1" x14ac:dyDescent="0.25">
      <c r="A189" s="16"/>
      <c r="B189" s="16"/>
      <c r="C189" s="16"/>
      <c r="D189" s="82"/>
      <c r="E189" s="82"/>
      <c r="F189" s="83"/>
      <c r="G189" s="83"/>
      <c r="H189" s="83"/>
      <c r="I189" s="83"/>
      <c r="J189" s="84"/>
      <c r="K189" s="84"/>
      <c r="L189" s="84"/>
      <c r="M189" s="84"/>
      <c r="N189" s="84"/>
      <c r="O189" s="84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</row>
    <row r="190" spans="1:48" ht="15" customHeight="1" x14ac:dyDescent="0.25">
      <c r="A190" s="16"/>
      <c r="B190" s="16"/>
      <c r="C190" s="16"/>
      <c r="D190" s="82"/>
      <c r="E190" s="82"/>
      <c r="F190" s="83"/>
      <c r="G190" s="83"/>
      <c r="H190" s="83"/>
      <c r="I190" s="83"/>
      <c r="J190" s="84"/>
      <c r="K190" s="84"/>
      <c r="L190" s="84"/>
      <c r="M190" s="84"/>
      <c r="N190" s="84"/>
      <c r="O190" s="84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</row>
    <row r="191" spans="1:48" ht="15" customHeight="1" x14ac:dyDescent="0.25">
      <c r="A191" s="16"/>
      <c r="B191" s="16"/>
      <c r="C191" s="16"/>
      <c r="D191" s="82"/>
      <c r="E191" s="82"/>
      <c r="F191" s="83"/>
      <c r="G191" s="83"/>
      <c r="H191" s="83"/>
      <c r="I191" s="83"/>
      <c r="J191" s="84"/>
      <c r="K191" s="84"/>
      <c r="L191" s="84"/>
      <c r="M191" s="84"/>
      <c r="N191" s="84"/>
      <c r="O191" s="84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</row>
    <row r="192" spans="1:48" ht="15" customHeight="1" x14ac:dyDescent="0.25">
      <c r="A192" s="16"/>
      <c r="B192" s="16"/>
      <c r="C192" s="16"/>
      <c r="D192" s="82"/>
      <c r="E192" s="82"/>
      <c r="F192" s="83"/>
      <c r="G192" s="83"/>
      <c r="H192" s="83"/>
      <c r="I192" s="83"/>
      <c r="J192" s="84"/>
      <c r="K192" s="84"/>
      <c r="L192" s="84"/>
      <c r="M192" s="84"/>
      <c r="N192" s="84"/>
      <c r="O192" s="84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</row>
    <row r="193" spans="1:48" ht="15" customHeight="1" x14ac:dyDescent="0.25">
      <c r="A193" s="16"/>
      <c r="B193" s="16"/>
      <c r="C193" s="16"/>
      <c r="D193" s="82"/>
      <c r="E193" s="82"/>
      <c r="F193" s="83"/>
      <c r="G193" s="83"/>
      <c r="H193" s="83"/>
      <c r="I193" s="83"/>
      <c r="J193" s="84"/>
      <c r="K193" s="84"/>
      <c r="L193" s="84"/>
      <c r="M193" s="84"/>
      <c r="N193" s="84"/>
      <c r="O193" s="84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</row>
    <row r="194" spans="1:48" ht="15" customHeight="1" x14ac:dyDescent="0.25">
      <c r="A194" s="16"/>
      <c r="B194" s="16"/>
      <c r="C194" s="16"/>
      <c r="D194" s="82"/>
      <c r="E194" s="82"/>
      <c r="F194" s="83"/>
      <c r="G194" s="83"/>
      <c r="H194" s="83"/>
      <c r="I194" s="83"/>
      <c r="J194" s="84"/>
      <c r="K194" s="84"/>
      <c r="L194" s="84"/>
      <c r="M194" s="84"/>
      <c r="N194" s="84"/>
      <c r="O194" s="84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</row>
    <row r="195" spans="1:48" ht="15" customHeight="1" x14ac:dyDescent="0.25">
      <c r="A195" s="16"/>
      <c r="B195" s="16"/>
      <c r="C195" s="16"/>
      <c r="D195" s="82"/>
      <c r="E195" s="82"/>
      <c r="F195" s="83"/>
      <c r="G195" s="83"/>
      <c r="H195" s="83"/>
      <c r="I195" s="83"/>
      <c r="J195" s="84"/>
      <c r="K195" s="84"/>
      <c r="L195" s="84"/>
      <c r="M195" s="84"/>
      <c r="N195" s="84"/>
      <c r="O195" s="84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</row>
    <row r="196" spans="1:48" ht="15" customHeight="1" x14ac:dyDescent="0.25">
      <c r="A196" s="16"/>
      <c r="B196" s="16"/>
      <c r="C196" s="16"/>
      <c r="D196" s="82"/>
      <c r="E196" s="82"/>
      <c r="F196" s="83"/>
      <c r="G196" s="83"/>
      <c r="H196" s="83"/>
      <c r="I196" s="83"/>
      <c r="J196" s="84"/>
      <c r="K196" s="84"/>
      <c r="L196" s="84"/>
      <c r="M196" s="84"/>
      <c r="N196" s="84"/>
      <c r="O196" s="84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</row>
    <row r="197" spans="1:48" ht="15" customHeight="1" x14ac:dyDescent="0.25">
      <c r="A197" s="16"/>
      <c r="B197" s="16"/>
      <c r="C197" s="16"/>
      <c r="D197" s="82"/>
      <c r="E197" s="82"/>
      <c r="F197" s="83"/>
      <c r="G197" s="83"/>
      <c r="H197" s="83"/>
      <c r="I197" s="83"/>
      <c r="J197" s="84"/>
      <c r="K197" s="84"/>
      <c r="L197" s="84"/>
      <c r="M197" s="84"/>
      <c r="N197" s="84"/>
      <c r="O197" s="84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</row>
    <row r="198" spans="1:48" ht="15" customHeight="1" x14ac:dyDescent="0.25">
      <c r="A198" s="16"/>
      <c r="B198" s="16"/>
      <c r="C198" s="16"/>
      <c r="D198" s="82"/>
      <c r="E198" s="82"/>
      <c r="F198" s="83"/>
      <c r="G198" s="83"/>
      <c r="H198" s="83"/>
      <c r="I198" s="83"/>
      <c r="J198" s="84"/>
      <c r="K198" s="84"/>
      <c r="L198" s="84"/>
      <c r="M198" s="84"/>
      <c r="N198" s="84"/>
      <c r="O198" s="84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</row>
    <row r="199" spans="1:48" ht="15" customHeight="1" x14ac:dyDescent="0.25">
      <c r="A199" s="16"/>
      <c r="B199" s="16"/>
      <c r="C199" s="16"/>
      <c r="D199" s="82"/>
      <c r="E199" s="82"/>
      <c r="F199" s="83"/>
      <c r="G199" s="83"/>
      <c r="H199" s="83"/>
      <c r="I199" s="83"/>
      <c r="J199" s="84"/>
      <c r="K199" s="84"/>
      <c r="L199" s="84"/>
      <c r="M199" s="84"/>
      <c r="N199" s="84"/>
      <c r="O199" s="84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</row>
    <row r="200" spans="1:48" ht="15" customHeight="1" x14ac:dyDescent="0.25">
      <c r="A200" s="16"/>
      <c r="B200" s="16"/>
      <c r="C200" s="16"/>
      <c r="D200" s="82"/>
      <c r="E200" s="82"/>
      <c r="F200" s="83"/>
      <c r="G200" s="83"/>
      <c r="H200" s="83"/>
      <c r="I200" s="83"/>
      <c r="J200" s="84"/>
      <c r="K200" s="84"/>
      <c r="L200" s="84"/>
      <c r="M200" s="84"/>
      <c r="N200" s="84"/>
      <c r="O200" s="84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</row>
    <row r="201" spans="1:48" ht="15" customHeight="1" x14ac:dyDescent="0.25">
      <c r="A201" s="16"/>
      <c r="B201" s="16"/>
      <c r="C201" s="16"/>
      <c r="D201" s="82"/>
      <c r="E201" s="82"/>
      <c r="F201" s="83"/>
      <c r="G201" s="83"/>
      <c r="H201" s="83"/>
      <c r="I201" s="83"/>
      <c r="J201" s="84"/>
      <c r="K201" s="84"/>
      <c r="L201" s="84"/>
      <c r="M201" s="84"/>
      <c r="N201" s="84"/>
      <c r="O201" s="84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</row>
    <row r="202" spans="1:48" ht="15" customHeight="1" x14ac:dyDescent="0.25">
      <c r="A202" s="16"/>
      <c r="B202" s="16"/>
      <c r="C202" s="16"/>
      <c r="D202" s="82"/>
      <c r="E202" s="82"/>
      <c r="F202" s="83"/>
      <c r="G202" s="83"/>
      <c r="H202" s="83"/>
      <c r="I202" s="83"/>
      <c r="J202" s="84"/>
      <c r="K202" s="84"/>
      <c r="L202" s="84"/>
      <c r="M202" s="84"/>
      <c r="N202" s="84"/>
      <c r="O202" s="84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</row>
    <row r="203" spans="1:48" ht="15" customHeight="1" x14ac:dyDescent="0.25">
      <c r="A203" s="16"/>
      <c r="B203" s="16"/>
      <c r="C203" s="16"/>
      <c r="D203" s="82"/>
      <c r="E203" s="82"/>
      <c r="F203" s="83"/>
      <c r="G203" s="83"/>
      <c r="H203" s="83"/>
      <c r="I203" s="83"/>
      <c r="J203" s="84"/>
      <c r="K203" s="84"/>
      <c r="L203" s="84"/>
      <c r="M203" s="84"/>
      <c r="N203" s="84"/>
      <c r="O203" s="84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</row>
    <row r="204" spans="1:48" ht="15" customHeight="1" x14ac:dyDescent="0.25">
      <c r="A204" s="16"/>
      <c r="B204" s="16"/>
      <c r="C204" s="16"/>
      <c r="D204" s="82"/>
      <c r="E204" s="82"/>
      <c r="F204" s="83"/>
      <c r="G204" s="83"/>
      <c r="H204" s="83"/>
      <c r="I204" s="83"/>
      <c r="J204" s="84"/>
      <c r="K204" s="84"/>
      <c r="L204" s="84"/>
      <c r="M204" s="84"/>
      <c r="N204" s="84"/>
      <c r="O204" s="84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</row>
    <row r="205" spans="1:48" ht="15" customHeight="1" x14ac:dyDescent="0.25">
      <c r="A205" s="16"/>
      <c r="B205" s="16"/>
      <c r="C205" s="16"/>
      <c r="D205" s="82"/>
      <c r="E205" s="82"/>
      <c r="F205" s="83"/>
      <c r="G205" s="83"/>
      <c r="H205" s="83"/>
      <c r="I205" s="83"/>
      <c r="J205" s="84"/>
      <c r="K205" s="84"/>
      <c r="L205" s="84"/>
      <c r="M205" s="84"/>
      <c r="N205" s="84"/>
      <c r="O205" s="84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</row>
    <row r="206" spans="1:48" ht="15" customHeight="1" x14ac:dyDescent="0.25">
      <c r="A206" s="16"/>
      <c r="B206" s="16"/>
      <c r="C206" s="16"/>
      <c r="D206" s="82"/>
      <c r="E206" s="82"/>
      <c r="F206" s="83"/>
      <c r="G206" s="83"/>
      <c r="H206" s="83"/>
      <c r="I206" s="83"/>
      <c r="J206" s="84"/>
      <c r="K206" s="84"/>
      <c r="L206" s="84"/>
      <c r="M206" s="84"/>
      <c r="N206" s="84"/>
      <c r="O206" s="84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</row>
    <row r="207" spans="1:48" ht="15" customHeight="1" x14ac:dyDescent="0.25">
      <c r="A207" s="16"/>
      <c r="B207" s="16"/>
      <c r="C207" s="16"/>
      <c r="D207" s="82"/>
      <c r="E207" s="82"/>
      <c r="F207" s="83"/>
      <c r="G207" s="83"/>
      <c r="H207" s="83"/>
      <c r="I207" s="83"/>
      <c r="J207" s="84"/>
      <c r="K207" s="84"/>
      <c r="L207" s="84"/>
      <c r="M207" s="84"/>
      <c r="N207" s="84"/>
      <c r="O207" s="84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</row>
    <row r="208" spans="1:48" ht="15" customHeight="1" x14ac:dyDescent="0.25">
      <c r="A208" s="16"/>
      <c r="B208" s="16"/>
      <c r="C208" s="16"/>
      <c r="D208" s="82"/>
      <c r="E208" s="82"/>
      <c r="F208" s="83"/>
      <c r="G208" s="83"/>
      <c r="H208" s="83"/>
      <c r="I208" s="83"/>
      <c r="J208" s="84"/>
      <c r="K208" s="84"/>
      <c r="L208" s="84"/>
      <c r="M208" s="84"/>
      <c r="N208" s="84"/>
      <c r="O208" s="84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</row>
    <row r="209" spans="1:48" ht="15" customHeight="1" x14ac:dyDescent="0.25">
      <c r="A209" s="16"/>
      <c r="B209" s="16"/>
      <c r="C209" s="16"/>
      <c r="D209" s="82"/>
      <c r="E209" s="82"/>
      <c r="F209" s="83"/>
      <c r="G209" s="83"/>
      <c r="H209" s="83"/>
      <c r="I209" s="83"/>
      <c r="J209" s="84"/>
      <c r="K209" s="84"/>
      <c r="L209" s="84"/>
      <c r="M209" s="84"/>
      <c r="N209" s="84"/>
      <c r="O209" s="84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</row>
    <row r="210" spans="1:48" ht="15" customHeight="1" x14ac:dyDescent="0.25">
      <c r="A210" s="16"/>
      <c r="B210" s="16"/>
      <c r="C210" s="16"/>
      <c r="D210" s="82"/>
      <c r="E210" s="82"/>
      <c r="F210" s="83"/>
      <c r="G210" s="83"/>
      <c r="H210" s="83"/>
      <c r="I210" s="83"/>
      <c r="J210" s="84"/>
      <c r="K210" s="84"/>
      <c r="L210" s="84"/>
      <c r="M210" s="84"/>
      <c r="N210" s="84"/>
      <c r="O210" s="84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</row>
    <row r="211" spans="1:48" ht="15" customHeight="1" x14ac:dyDescent="0.25">
      <c r="A211" s="16"/>
      <c r="B211" s="16"/>
      <c r="C211" s="16"/>
      <c r="D211" s="82"/>
      <c r="E211" s="82"/>
      <c r="F211" s="83"/>
      <c r="G211" s="83"/>
      <c r="H211" s="83"/>
      <c r="I211" s="83"/>
      <c r="J211" s="84"/>
      <c r="K211" s="84"/>
      <c r="L211" s="84"/>
      <c r="M211" s="84"/>
      <c r="N211" s="84"/>
      <c r="O211" s="84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</row>
    <row r="212" spans="1:48" ht="15" customHeight="1" x14ac:dyDescent="0.25">
      <c r="A212" s="16"/>
      <c r="B212" s="16"/>
      <c r="C212" s="16"/>
      <c r="D212" s="82"/>
      <c r="E212" s="82"/>
      <c r="F212" s="83"/>
      <c r="G212" s="83"/>
      <c r="H212" s="83"/>
      <c r="I212" s="83"/>
      <c r="J212" s="84"/>
      <c r="K212" s="84"/>
      <c r="L212" s="84"/>
      <c r="M212" s="84"/>
      <c r="N212" s="84"/>
      <c r="O212" s="84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</row>
    <row r="213" spans="1:48" ht="15" customHeight="1" x14ac:dyDescent="0.25">
      <c r="A213" s="16"/>
      <c r="B213" s="16"/>
      <c r="C213" s="16"/>
      <c r="D213" s="82"/>
      <c r="E213" s="82"/>
      <c r="F213" s="83"/>
      <c r="G213" s="83"/>
      <c r="H213" s="83"/>
      <c r="I213" s="83"/>
      <c r="J213" s="84"/>
      <c r="K213" s="84"/>
      <c r="L213" s="84"/>
      <c r="M213" s="84"/>
      <c r="N213" s="84"/>
      <c r="O213" s="84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</row>
    <row r="214" spans="1:48" ht="15" customHeight="1" x14ac:dyDescent="0.25">
      <c r="A214" s="16"/>
      <c r="B214" s="16"/>
      <c r="C214" s="16"/>
      <c r="D214" s="82"/>
      <c r="E214" s="82"/>
      <c r="F214" s="83"/>
      <c r="G214" s="83"/>
      <c r="H214" s="83"/>
      <c r="I214" s="83"/>
      <c r="J214" s="84"/>
      <c r="K214" s="84"/>
      <c r="L214" s="84"/>
      <c r="M214" s="84"/>
      <c r="N214" s="84"/>
      <c r="O214" s="84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</row>
    <row r="215" spans="1:48" ht="15" customHeight="1" x14ac:dyDescent="0.25">
      <c r="A215" s="16"/>
      <c r="B215" s="16"/>
      <c r="C215" s="16"/>
      <c r="D215" s="82"/>
      <c r="E215" s="82"/>
      <c r="F215" s="83"/>
      <c r="G215" s="83"/>
      <c r="H215" s="83"/>
      <c r="I215" s="83"/>
      <c r="J215" s="84"/>
      <c r="K215" s="84"/>
      <c r="L215" s="84"/>
      <c r="M215" s="84"/>
      <c r="N215" s="84"/>
      <c r="O215" s="84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</row>
    <row r="216" spans="1:48" ht="15" customHeight="1" x14ac:dyDescent="0.25">
      <c r="A216" s="16"/>
      <c r="B216" s="16"/>
      <c r="C216" s="16"/>
      <c r="D216" s="82"/>
      <c r="E216" s="82"/>
      <c r="F216" s="83"/>
      <c r="G216" s="83"/>
      <c r="H216" s="83"/>
      <c r="I216" s="83"/>
      <c r="J216" s="84"/>
      <c r="K216" s="84"/>
      <c r="L216" s="84"/>
      <c r="M216" s="84"/>
      <c r="N216" s="84"/>
      <c r="O216" s="84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</row>
    <row r="217" spans="1:48" ht="15" customHeight="1" x14ac:dyDescent="0.25">
      <c r="A217" s="16"/>
      <c r="B217" s="16"/>
      <c r="C217" s="16"/>
      <c r="D217" s="82"/>
      <c r="E217" s="82"/>
      <c r="F217" s="83"/>
      <c r="G217" s="83"/>
      <c r="H217" s="83"/>
      <c r="I217" s="83"/>
      <c r="J217" s="84"/>
      <c r="K217" s="84"/>
      <c r="L217" s="84"/>
      <c r="M217" s="84"/>
      <c r="N217" s="84"/>
      <c r="O217" s="84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</row>
    <row r="218" spans="1:48" ht="15" customHeight="1" x14ac:dyDescent="0.25">
      <c r="A218" s="16"/>
      <c r="B218" s="16"/>
      <c r="C218" s="16"/>
      <c r="D218" s="82"/>
      <c r="E218" s="82"/>
      <c r="F218" s="83"/>
      <c r="G218" s="83"/>
      <c r="H218" s="83"/>
      <c r="I218" s="83"/>
      <c r="J218" s="84"/>
      <c r="K218" s="84"/>
      <c r="L218" s="84"/>
      <c r="M218" s="84"/>
      <c r="N218" s="84"/>
      <c r="O218" s="84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</row>
    <row r="219" spans="1:48" ht="15" customHeight="1" x14ac:dyDescent="0.25">
      <c r="A219" s="16"/>
      <c r="B219" s="16"/>
      <c r="C219" s="16"/>
      <c r="D219" s="82"/>
      <c r="E219" s="82"/>
      <c r="F219" s="83"/>
      <c r="G219" s="83"/>
      <c r="H219" s="83"/>
      <c r="I219" s="83"/>
      <c r="J219" s="84"/>
      <c r="K219" s="84"/>
      <c r="L219" s="84"/>
      <c r="M219" s="84"/>
      <c r="N219" s="84"/>
      <c r="O219" s="84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</row>
    <row r="220" spans="1:48" ht="15" customHeight="1" x14ac:dyDescent="0.25">
      <c r="A220" s="16"/>
      <c r="B220" s="16"/>
      <c r="C220" s="16"/>
      <c r="D220" s="82"/>
      <c r="E220" s="82"/>
      <c r="F220" s="83"/>
      <c r="G220" s="83"/>
      <c r="H220" s="83"/>
      <c r="I220" s="83"/>
      <c r="J220" s="84"/>
      <c r="K220" s="84"/>
      <c r="L220" s="84"/>
      <c r="M220" s="84"/>
      <c r="N220" s="84"/>
      <c r="O220" s="84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</row>
    <row r="221" spans="1:48" ht="15" customHeight="1" x14ac:dyDescent="0.25">
      <c r="A221" s="16"/>
      <c r="B221" s="16"/>
      <c r="C221" s="16"/>
      <c r="D221" s="82"/>
      <c r="E221" s="82"/>
      <c r="F221" s="83"/>
      <c r="G221" s="83"/>
      <c r="H221" s="83"/>
      <c r="I221" s="83"/>
      <c r="J221" s="84"/>
      <c r="K221" s="84"/>
      <c r="L221" s="84"/>
      <c r="M221" s="84"/>
      <c r="N221" s="84"/>
      <c r="O221" s="84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</row>
    <row r="222" spans="1:48" ht="15" customHeight="1" x14ac:dyDescent="0.25">
      <c r="A222" s="16"/>
      <c r="B222" s="16"/>
      <c r="C222" s="16"/>
      <c r="D222" s="82"/>
      <c r="E222" s="82"/>
      <c r="F222" s="83"/>
      <c r="G222" s="83"/>
      <c r="H222" s="83"/>
      <c r="I222" s="83"/>
      <c r="J222" s="84"/>
      <c r="K222" s="84"/>
      <c r="L222" s="84"/>
      <c r="M222" s="84"/>
      <c r="N222" s="84"/>
      <c r="O222" s="84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</row>
    <row r="223" spans="1:48" ht="15" customHeight="1" x14ac:dyDescent="0.25">
      <c r="A223" s="16"/>
      <c r="B223" s="16"/>
      <c r="C223" s="16"/>
      <c r="D223" s="82"/>
      <c r="E223" s="82"/>
      <c r="F223" s="83"/>
      <c r="G223" s="83"/>
      <c r="H223" s="83"/>
      <c r="I223" s="83"/>
      <c r="J223" s="84"/>
      <c r="K223" s="84"/>
      <c r="L223" s="84"/>
      <c r="M223" s="84"/>
      <c r="N223" s="84"/>
      <c r="O223" s="84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</row>
    <row r="224" spans="1:48" ht="15" customHeight="1" x14ac:dyDescent="0.25">
      <c r="A224" s="16"/>
      <c r="B224" s="16"/>
      <c r="C224" s="16"/>
      <c r="D224" s="82"/>
      <c r="E224" s="82"/>
      <c r="F224" s="83"/>
      <c r="G224" s="83"/>
      <c r="H224" s="83"/>
      <c r="I224" s="83"/>
      <c r="J224" s="84"/>
      <c r="K224" s="84"/>
      <c r="L224" s="84"/>
      <c r="M224" s="84"/>
      <c r="N224" s="84"/>
      <c r="O224" s="84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</row>
    <row r="225" spans="1:48" ht="15" customHeight="1" x14ac:dyDescent="0.25">
      <c r="A225" s="16"/>
      <c r="B225" s="16"/>
      <c r="C225" s="16"/>
      <c r="D225" s="82"/>
      <c r="E225" s="82"/>
      <c r="F225" s="83"/>
      <c r="G225" s="83"/>
      <c r="H225" s="83"/>
      <c r="I225" s="83"/>
      <c r="J225" s="84"/>
      <c r="K225" s="84"/>
      <c r="L225" s="84"/>
      <c r="M225" s="84"/>
      <c r="N225" s="84"/>
      <c r="O225" s="84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</row>
    <row r="226" spans="1:48" ht="15" customHeight="1" x14ac:dyDescent="0.25">
      <c r="A226" s="16"/>
      <c r="B226" s="16"/>
      <c r="C226" s="16"/>
      <c r="D226" s="82"/>
      <c r="E226" s="82"/>
      <c r="F226" s="83"/>
      <c r="G226" s="83"/>
      <c r="H226" s="83"/>
      <c r="I226" s="83"/>
      <c r="J226" s="84"/>
      <c r="K226" s="84"/>
      <c r="L226" s="84"/>
      <c r="M226" s="84"/>
      <c r="N226" s="84"/>
      <c r="O226" s="84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</row>
    <row r="227" spans="1:48" ht="15" customHeight="1" x14ac:dyDescent="0.25">
      <c r="A227" s="16"/>
      <c r="B227" s="16"/>
      <c r="C227" s="16"/>
      <c r="D227" s="82"/>
      <c r="E227" s="82"/>
      <c r="F227" s="83"/>
      <c r="G227" s="83"/>
      <c r="H227" s="83"/>
      <c r="I227" s="83"/>
      <c r="J227" s="84"/>
      <c r="K227" s="84"/>
      <c r="L227" s="84"/>
      <c r="M227" s="84"/>
      <c r="N227" s="84"/>
      <c r="O227" s="84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</row>
    <row r="228" spans="1:48" ht="15" customHeight="1" x14ac:dyDescent="0.25">
      <c r="A228" s="16"/>
      <c r="B228" s="16"/>
      <c r="C228" s="16"/>
      <c r="D228" s="82"/>
      <c r="E228" s="82"/>
      <c r="F228" s="83"/>
      <c r="G228" s="83"/>
      <c r="H228" s="83"/>
      <c r="I228" s="83"/>
      <c r="J228" s="84"/>
      <c r="K228" s="84"/>
      <c r="L228" s="84"/>
      <c r="M228" s="84"/>
      <c r="N228" s="84"/>
      <c r="O228" s="84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</row>
    <row r="229" spans="1:48" ht="15" customHeight="1" x14ac:dyDescent="0.25">
      <c r="A229" s="16"/>
      <c r="B229" s="16"/>
      <c r="C229" s="16"/>
      <c r="D229" s="82"/>
      <c r="E229" s="82"/>
      <c r="F229" s="83"/>
      <c r="G229" s="83"/>
      <c r="H229" s="83"/>
      <c r="I229" s="83"/>
      <c r="J229" s="84"/>
      <c r="K229" s="84"/>
      <c r="L229" s="84"/>
      <c r="M229" s="84"/>
      <c r="N229" s="84"/>
      <c r="O229" s="84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</row>
    <row r="230" spans="1:48" ht="15" customHeight="1" x14ac:dyDescent="0.25">
      <c r="A230" s="16"/>
      <c r="B230" s="16"/>
      <c r="C230" s="16"/>
      <c r="D230" s="82"/>
      <c r="E230" s="82"/>
      <c r="F230" s="83"/>
      <c r="G230" s="83"/>
      <c r="H230" s="83"/>
      <c r="I230" s="83"/>
      <c r="J230" s="84"/>
      <c r="K230" s="84"/>
      <c r="L230" s="84"/>
      <c r="M230" s="84"/>
      <c r="N230" s="84"/>
      <c r="O230" s="84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</row>
    <row r="231" spans="1:48" ht="15" customHeight="1" x14ac:dyDescent="0.25">
      <c r="A231" s="16"/>
      <c r="B231" s="16"/>
      <c r="C231" s="16"/>
      <c r="D231" s="82"/>
      <c r="E231" s="82"/>
      <c r="F231" s="83"/>
      <c r="G231" s="83"/>
      <c r="H231" s="83"/>
      <c r="I231" s="83"/>
      <c r="J231" s="84"/>
      <c r="K231" s="84"/>
      <c r="L231" s="84"/>
      <c r="M231" s="84"/>
      <c r="N231" s="84"/>
      <c r="O231" s="84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</row>
    <row r="232" spans="1:48" ht="15" customHeight="1" x14ac:dyDescent="0.25">
      <c r="A232" s="16"/>
      <c r="B232" s="16"/>
      <c r="C232" s="16"/>
      <c r="D232" s="82"/>
      <c r="E232" s="82"/>
      <c r="F232" s="83"/>
      <c r="G232" s="83"/>
      <c r="H232" s="83"/>
      <c r="I232" s="83"/>
      <c r="J232" s="84"/>
      <c r="K232" s="84"/>
      <c r="L232" s="84"/>
      <c r="M232" s="84"/>
      <c r="N232" s="84"/>
      <c r="O232" s="84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</row>
    <row r="233" spans="1:48" ht="15" customHeight="1" x14ac:dyDescent="0.25">
      <c r="A233" s="16"/>
      <c r="B233" s="16"/>
      <c r="C233" s="16"/>
      <c r="D233" s="82"/>
      <c r="E233" s="82"/>
      <c r="F233" s="83"/>
      <c r="G233" s="83"/>
      <c r="H233" s="83"/>
      <c r="I233" s="83"/>
      <c r="J233" s="84"/>
      <c r="K233" s="84"/>
      <c r="L233" s="84"/>
      <c r="M233" s="84"/>
      <c r="N233" s="84"/>
      <c r="O233" s="84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</row>
    <row r="234" spans="1:48" ht="15" customHeight="1" x14ac:dyDescent="0.25">
      <c r="A234" s="16"/>
      <c r="B234" s="16"/>
      <c r="C234" s="16"/>
      <c r="D234" s="82"/>
      <c r="E234" s="82"/>
      <c r="F234" s="83"/>
      <c r="G234" s="83"/>
      <c r="H234" s="83"/>
      <c r="I234" s="83"/>
      <c r="J234" s="84"/>
      <c r="K234" s="84"/>
      <c r="L234" s="84"/>
      <c r="M234" s="84"/>
      <c r="N234" s="84"/>
      <c r="O234" s="84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</row>
    <row r="235" spans="1:48" ht="15" customHeight="1" x14ac:dyDescent="0.25">
      <c r="A235" s="16"/>
      <c r="B235" s="16"/>
      <c r="C235" s="16"/>
      <c r="D235" s="82"/>
      <c r="E235" s="82"/>
      <c r="F235" s="83"/>
      <c r="G235" s="83"/>
      <c r="H235" s="83"/>
      <c r="I235" s="83"/>
      <c r="J235" s="84"/>
      <c r="K235" s="84"/>
      <c r="L235" s="84"/>
      <c r="M235" s="84"/>
      <c r="N235" s="84"/>
      <c r="O235" s="84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</row>
    <row r="236" spans="1:48" ht="15" customHeight="1" x14ac:dyDescent="0.25">
      <c r="A236" s="16"/>
      <c r="B236" s="16"/>
      <c r="C236" s="16"/>
      <c r="D236" s="82"/>
      <c r="E236" s="82"/>
      <c r="F236" s="83"/>
      <c r="G236" s="83"/>
      <c r="H236" s="83"/>
      <c r="I236" s="83"/>
      <c r="J236" s="84"/>
      <c r="K236" s="84"/>
      <c r="L236" s="84"/>
      <c r="M236" s="84"/>
      <c r="N236" s="84"/>
      <c r="O236" s="84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</row>
    <row r="237" spans="1:48" ht="15" customHeight="1" x14ac:dyDescent="0.25">
      <c r="A237" s="16"/>
      <c r="B237" s="16"/>
      <c r="C237" s="16"/>
      <c r="D237" s="82"/>
      <c r="E237" s="82"/>
      <c r="F237" s="83"/>
      <c r="G237" s="83"/>
      <c r="H237" s="83"/>
      <c r="I237" s="83"/>
      <c r="J237" s="84"/>
      <c r="K237" s="84"/>
      <c r="L237" s="84"/>
      <c r="M237" s="84"/>
      <c r="N237" s="84"/>
      <c r="O237" s="84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</row>
    <row r="238" spans="1:48" ht="15" customHeight="1" x14ac:dyDescent="0.25">
      <c r="A238" s="16"/>
      <c r="B238" s="16"/>
      <c r="C238" s="16"/>
      <c r="D238" s="82"/>
      <c r="E238" s="82"/>
      <c r="F238" s="83"/>
      <c r="G238" s="83"/>
      <c r="H238" s="83"/>
      <c r="I238" s="83"/>
      <c r="J238" s="84"/>
      <c r="K238" s="84"/>
      <c r="L238" s="84"/>
      <c r="M238" s="84"/>
      <c r="N238" s="84"/>
      <c r="O238" s="84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</row>
    <row r="239" spans="1:48" ht="15" customHeight="1" x14ac:dyDescent="0.25">
      <c r="A239" s="16"/>
      <c r="B239" s="16"/>
      <c r="C239" s="16"/>
      <c r="D239" s="82"/>
      <c r="E239" s="82"/>
      <c r="F239" s="83"/>
      <c r="G239" s="83"/>
      <c r="H239" s="83"/>
      <c r="I239" s="83"/>
      <c r="J239" s="84"/>
      <c r="K239" s="84"/>
      <c r="L239" s="84"/>
      <c r="M239" s="84"/>
      <c r="N239" s="84"/>
      <c r="O239" s="84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</row>
    <row r="240" spans="1:48" ht="15" customHeight="1" x14ac:dyDescent="0.25">
      <c r="A240" s="16"/>
      <c r="B240" s="16"/>
      <c r="C240" s="16"/>
      <c r="D240" s="82"/>
      <c r="E240" s="82"/>
      <c r="F240" s="83"/>
      <c r="G240" s="83"/>
      <c r="H240" s="83"/>
      <c r="I240" s="83"/>
      <c r="J240" s="84"/>
      <c r="K240" s="84"/>
      <c r="L240" s="84"/>
      <c r="M240" s="84"/>
      <c r="N240" s="84"/>
      <c r="O240" s="84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</row>
    <row r="241" spans="1:48" ht="15" customHeight="1" x14ac:dyDescent="0.25">
      <c r="A241" s="16"/>
      <c r="B241" s="16"/>
      <c r="C241" s="16"/>
      <c r="D241" s="82"/>
      <c r="E241" s="82"/>
      <c r="F241" s="83"/>
      <c r="G241" s="83"/>
      <c r="H241" s="83"/>
      <c r="I241" s="83"/>
      <c r="J241" s="84"/>
      <c r="K241" s="84"/>
      <c r="L241" s="84"/>
      <c r="M241" s="84"/>
      <c r="N241" s="84"/>
      <c r="O241" s="84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</row>
    <row r="242" spans="1:48" ht="15" customHeight="1" x14ac:dyDescent="0.25">
      <c r="A242" s="16"/>
      <c r="B242" s="16"/>
      <c r="C242" s="16"/>
      <c r="D242" s="82"/>
      <c r="E242" s="82"/>
      <c r="F242" s="83"/>
      <c r="G242" s="83"/>
      <c r="H242" s="83"/>
      <c r="I242" s="83"/>
      <c r="J242" s="84"/>
      <c r="K242" s="84"/>
      <c r="L242" s="84"/>
      <c r="M242" s="84"/>
      <c r="N242" s="84"/>
      <c r="O242" s="84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</row>
    <row r="243" spans="1:48" ht="15" customHeight="1" x14ac:dyDescent="0.25">
      <c r="A243" s="16"/>
      <c r="B243" s="16"/>
      <c r="C243" s="16"/>
      <c r="D243" s="82"/>
      <c r="E243" s="82"/>
      <c r="F243" s="83"/>
      <c r="G243" s="83"/>
      <c r="H243" s="83"/>
      <c r="I243" s="83"/>
      <c r="J243" s="84"/>
      <c r="K243" s="84"/>
      <c r="L243" s="84"/>
      <c r="M243" s="84"/>
      <c r="N243" s="84"/>
      <c r="O243" s="84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</row>
    <row r="244" spans="1:48" ht="15" customHeight="1" x14ac:dyDescent="0.25">
      <c r="A244" s="16"/>
      <c r="B244" s="16"/>
      <c r="C244" s="16"/>
      <c r="D244" s="82"/>
      <c r="E244" s="82"/>
      <c r="F244" s="83"/>
      <c r="G244" s="83"/>
      <c r="H244" s="83"/>
      <c r="I244" s="83"/>
      <c r="J244" s="84"/>
      <c r="K244" s="84"/>
      <c r="L244" s="84"/>
      <c r="M244" s="84"/>
      <c r="N244" s="84"/>
      <c r="O244" s="84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</row>
    <row r="245" spans="1:48" ht="15" customHeight="1" x14ac:dyDescent="0.25">
      <c r="A245" s="16"/>
      <c r="B245" s="16"/>
      <c r="C245" s="16"/>
      <c r="D245" s="82"/>
      <c r="E245" s="82"/>
      <c r="F245" s="83"/>
      <c r="G245" s="83"/>
      <c r="H245" s="83"/>
      <c r="I245" s="83"/>
      <c r="J245" s="84"/>
      <c r="K245" s="84"/>
      <c r="L245" s="84"/>
      <c r="M245" s="84"/>
      <c r="N245" s="84"/>
      <c r="O245" s="84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</row>
    <row r="246" spans="1:48" ht="15" customHeight="1" x14ac:dyDescent="0.25">
      <c r="A246" s="16"/>
      <c r="B246" s="16"/>
      <c r="C246" s="16"/>
      <c r="D246" s="82"/>
      <c r="E246" s="82"/>
      <c r="F246" s="83"/>
      <c r="G246" s="83"/>
      <c r="H246" s="83"/>
      <c r="I246" s="83"/>
      <c r="J246" s="84"/>
      <c r="K246" s="84"/>
      <c r="L246" s="84"/>
      <c r="M246" s="84"/>
      <c r="N246" s="84"/>
      <c r="O246" s="84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</row>
    <row r="247" spans="1:48" ht="15" customHeight="1" x14ac:dyDescent="0.25">
      <c r="A247" s="16"/>
      <c r="B247" s="16"/>
      <c r="C247" s="16"/>
      <c r="D247" s="82"/>
      <c r="E247" s="82"/>
      <c r="F247" s="83"/>
      <c r="G247" s="83"/>
      <c r="H247" s="83"/>
      <c r="I247" s="83"/>
      <c r="J247" s="84"/>
      <c r="K247" s="84"/>
      <c r="L247" s="84"/>
      <c r="M247" s="84"/>
      <c r="N247" s="84"/>
      <c r="O247" s="84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</row>
    <row r="248" spans="1:48" ht="15" customHeight="1" x14ac:dyDescent="0.25">
      <c r="A248" s="16"/>
      <c r="B248" s="16"/>
      <c r="C248" s="16"/>
      <c r="D248" s="82"/>
      <c r="E248" s="82"/>
      <c r="F248" s="83"/>
      <c r="G248" s="83"/>
      <c r="H248" s="83"/>
      <c r="I248" s="83"/>
      <c r="J248" s="84"/>
      <c r="K248" s="84"/>
      <c r="L248" s="84"/>
      <c r="M248" s="84"/>
      <c r="N248" s="84"/>
      <c r="O248" s="84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</row>
    <row r="249" spans="1:48" ht="15" customHeight="1" x14ac:dyDescent="0.25">
      <c r="A249" s="16"/>
      <c r="B249" s="16"/>
      <c r="C249" s="16"/>
      <c r="D249" s="82"/>
      <c r="E249" s="82"/>
      <c r="F249" s="83"/>
      <c r="G249" s="83"/>
      <c r="H249" s="83"/>
      <c r="I249" s="83"/>
      <c r="J249" s="84"/>
      <c r="K249" s="84"/>
      <c r="L249" s="84"/>
      <c r="M249" s="84"/>
      <c r="N249" s="84"/>
      <c r="O249" s="84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</row>
    <row r="250" spans="1:48" ht="15" customHeight="1" x14ac:dyDescent="0.25">
      <c r="A250" s="16"/>
      <c r="B250" s="16"/>
      <c r="C250" s="16"/>
      <c r="D250" s="82"/>
      <c r="E250" s="82"/>
      <c r="F250" s="83"/>
      <c r="G250" s="83"/>
      <c r="H250" s="83"/>
      <c r="I250" s="83"/>
      <c r="J250" s="84"/>
      <c r="K250" s="84"/>
      <c r="L250" s="84"/>
      <c r="M250" s="84"/>
      <c r="N250" s="84"/>
      <c r="O250" s="84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</row>
    <row r="251" spans="1:48" ht="15" customHeight="1" x14ac:dyDescent="0.25">
      <c r="A251" s="16"/>
      <c r="B251" s="16"/>
      <c r="C251" s="16"/>
      <c r="D251" s="82"/>
      <c r="E251" s="82"/>
      <c r="F251" s="83"/>
      <c r="G251" s="83"/>
      <c r="H251" s="83"/>
      <c r="I251" s="83"/>
      <c r="J251" s="84"/>
      <c r="K251" s="84"/>
      <c r="L251" s="84"/>
      <c r="M251" s="84"/>
      <c r="N251" s="84"/>
      <c r="O251" s="84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</row>
    <row r="252" spans="1:48" ht="15" customHeight="1" x14ac:dyDescent="0.25">
      <c r="A252" s="16"/>
      <c r="B252" s="16"/>
      <c r="C252" s="16"/>
      <c r="D252" s="82"/>
      <c r="E252" s="82"/>
      <c r="F252" s="83"/>
      <c r="G252" s="83"/>
      <c r="H252" s="83"/>
      <c r="I252" s="83"/>
      <c r="J252" s="84"/>
      <c r="K252" s="84"/>
      <c r="L252" s="84"/>
      <c r="M252" s="84"/>
      <c r="N252" s="84"/>
      <c r="O252" s="84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</row>
    <row r="253" spans="1:48" ht="15" customHeight="1" x14ac:dyDescent="0.25">
      <c r="A253" s="16"/>
      <c r="B253" s="16"/>
      <c r="C253" s="16"/>
      <c r="D253" s="82"/>
      <c r="E253" s="82"/>
      <c r="F253" s="83"/>
      <c r="G253" s="83"/>
      <c r="H253" s="83"/>
      <c r="I253" s="83"/>
      <c r="J253" s="84"/>
      <c r="K253" s="84"/>
      <c r="L253" s="84"/>
      <c r="M253" s="84"/>
      <c r="N253" s="84"/>
      <c r="O253" s="84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</row>
    <row r="254" spans="1:48" ht="15" customHeight="1" x14ac:dyDescent="0.25">
      <c r="A254" s="16"/>
      <c r="B254" s="16"/>
      <c r="C254" s="16"/>
      <c r="D254" s="82"/>
      <c r="E254" s="82"/>
      <c r="F254" s="83"/>
      <c r="G254" s="83"/>
      <c r="H254" s="83"/>
      <c r="I254" s="83"/>
      <c r="J254" s="84"/>
      <c r="K254" s="84"/>
      <c r="L254" s="84"/>
      <c r="M254" s="84"/>
      <c r="N254" s="84"/>
      <c r="O254" s="84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</row>
    <row r="255" spans="1:48" ht="15" customHeight="1" x14ac:dyDescent="0.25">
      <c r="A255" s="16"/>
      <c r="B255" s="16"/>
      <c r="C255" s="16"/>
      <c r="D255" s="82"/>
      <c r="E255" s="82"/>
      <c r="F255" s="83"/>
      <c r="G255" s="83"/>
      <c r="H255" s="83"/>
      <c r="I255" s="83"/>
      <c r="J255" s="84"/>
      <c r="K255" s="84"/>
      <c r="L255" s="84"/>
      <c r="M255" s="84"/>
      <c r="N255" s="84"/>
      <c r="O255" s="84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</row>
    <row r="256" spans="1:48" ht="15" customHeight="1" x14ac:dyDescent="0.25">
      <c r="A256" s="16"/>
      <c r="B256" s="16"/>
      <c r="C256" s="16"/>
      <c r="D256" s="82"/>
      <c r="E256" s="82"/>
      <c r="F256" s="83"/>
      <c r="G256" s="83"/>
      <c r="H256" s="83"/>
      <c r="I256" s="83"/>
      <c r="J256" s="84"/>
      <c r="K256" s="84"/>
      <c r="L256" s="84"/>
      <c r="M256" s="84"/>
      <c r="N256" s="84"/>
      <c r="O256" s="84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</row>
    <row r="257" spans="1:48" ht="15" customHeight="1" x14ac:dyDescent="0.25">
      <c r="A257" s="16"/>
      <c r="B257" s="16"/>
      <c r="C257" s="16"/>
      <c r="D257" s="82"/>
      <c r="E257" s="82"/>
      <c r="F257" s="83"/>
      <c r="G257" s="83"/>
      <c r="H257" s="83"/>
      <c r="I257" s="83"/>
      <c r="J257" s="84"/>
      <c r="K257" s="84"/>
      <c r="L257" s="84"/>
      <c r="M257" s="84"/>
      <c r="N257" s="84"/>
      <c r="O257" s="84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</row>
    <row r="258" spans="1:48" ht="15" customHeight="1" x14ac:dyDescent="0.25">
      <c r="A258" s="16"/>
      <c r="B258" s="16"/>
      <c r="C258" s="16"/>
      <c r="D258" s="82"/>
      <c r="E258" s="82"/>
      <c r="F258" s="83"/>
      <c r="G258" s="83"/>
      <c r="H258" s="83"/>
      <c r="I258" s="83"/>
      <c r="J258" s="84"/>
      <c r="K258" s="84"/>
      <c r="L258" s="84"/>
      <c r="M258" s="84"/>
      <c r="N258" s="84"/>
      <c r="O258" s="84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</row>
    <row r="259" spans="1:48" ht="15" customHeight="1" x14ac:dyDescent="0.25">
      <c r="A259" s="16"/>
      <c r="B259" s="16"/>
      <c r="C259" s="16"/>
      <c r="D259" s="82"/>
      <c r="E259" s="82"/>
      <c r="F259" s="83"/>
      <c r="G259" s="83"/>
      <c r="H259" s="83"/>
      <c r="I259" s="83"/>
      <c r="J259" s="84"/>
      <c r="K259" s="84"/>
      <c r="L259" s="84"/>
      <c r="M259" s="84"/>
      <c r="N259" s="84"/>
      <c r="O259" s="84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</row>
    <row r="260" spans="1:48" ht="15" customHeight="1" x14ac:dyDescent="0.25">
      <c r="A260" s="16"/>
      <c r="B260" s="16"/>
      <c r="C260" s="16"/>
      <c r="D260" s="82"/>
      <c r="E260" s="82"/>
      <c r="F260" s="83"/>
      <c r="G260" s="83"/>
      <c r="H260" s="83"/>
      <c r="I260" s="83"/>
      <c r="J260" s="84"/>
      <c r="K260" s="84"/>
      <c r="L260" s="84"/>
      <c r="M260" s="84"/>
      <c r="N260" s="84"/>
      <c r="O260" s="84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</row>
    <row r="261" spans="1:48" ht="15" customHeight="1" x14ac:dyDescent="0.25">
      <c r="A261" s="16"/>
      <c r="B261" s="16"/>
      <c r="C261" s="16"/>
      <c r="D261" s="82"/>
      <c r="E261" s="82"/>
      <c r="F261" s="83"/>
      <c r="G261" s="83"/>
      <c r="H261" s="83"/>
      <c r="I261" s="83"/>
      <c r="J261" s="84"/>
      <c r="K261" s="84"/>
      <c r="L261" s="84"/>
      <c r="M261" s="84"/>
      <c r="N261" s="84"/>
      <c r="O261" s="84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</row>
    <row r="262" spans="1:48" ht="15" customHeight="1" x14ac:dyDescent="0.25">
      <c r="A262" s="16"/>
      <c r="B262" s="16"/>
      <c r="C262" s="16"/>
      <c r="D262" s="82"/>
      <c r="E262" s="82"/>
      <c r="F262" s="83"/>
      <c r="G262" s="83"/>
      <c r="H262" s="83"/>
      <c r="I262" s="83"/>
      <c r="J262" s="84"/>
      <c r="K262" s="84"/>
      <c r="L262" s="84"/>
      <c r="M262" s="84"/>
      <c r="N262" s="84"/>
      <c r="O262" s="84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</row>
    <row r="263" spans="1:48" ht="15" customHeight="1" x14ac:dyDescent="0.25">
      <c r="A263" s="16"/>
      <c r="B263" s="16"/>
      <c r="C263" s="16"/>
      <c r="D263" s="82"/>
      <c r="E263" s="82"/>
      <c r="F263" s="83"/>
      <c r="G263" s="83"/>
      <c r="H263" s="83"/>
      <c r="I263" s="83"/>
      <c r="J263" s="84"/>
      <c r="K263" s="84"/>
      <c r="L263" s="84"/>
      <c r="M263" s="84"/>
      <c r="N263" s="84"/>
      <c r="O263" s="84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</row>
    <row r="264" spans="1:48" ht="15" customHeight="1" x14ac:dyDescent="0.25">
      <c r="A264" s="16"/>
      <c r="B264" s="16"/>
      <c r="C264" s="16"/>
      <c r="D264" s="82"/>
      <c r="E264" s="82"/>
      <c r="F264" s="83"/>
      <c r="G264" s="83"/>
      <c r="H264" s="83"/>
      <c r="I264" s="83"/>
      <c r="J264" s="84"/>
      <c r="K264" s="84"/>
      <c r="L264" s="84"/>
      <c r="M264" s="84"/>
      <c r="N264" s="84"/>
      <c r="O264" s="84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</row>
    <row r="265" spans="1:48" ht="15" customHeight="1" x14ac:dyDescent="0.25">
      <c r="A265" s="16"/>
      <c r="B265" s="16"/>
      <c r="C265" s="16"/>
      <c r="D265" s="82"/>
      <c r="E265" s="82"/>
      <c r="F265" s="83"/>
      <c r="G265" s="83"/>
      <c r="H265" s="83"/>
      <c r="I265" s="83"/>
      <c r="J265" s="84"/>
      <c r="K265" s="84"/>
      <c r="L265" s="84"/>
      <c r="M265" s="84"/>
      <c r="N265" s="84"/>
      <c r="O265" s="84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</row>
    <row r="266" spans="1:48" ht="15" customHeight="1" x14ac:dyDescent="0.25">
      <c r="A266" s="16"/>
      <c r="B266" s="16"/>
      <c r="C266" s="16"/>
      <c r="D266" s="82"/>
      <c r="E266" s="82"/>
      <c r="F266" s="83"/>
      <c r="G266" s="83"/>
      <c r="H266" s="83"/>
      <c r="I266" s="83"/>
      <c r="J266" s="84"/>
      <c r="K266" s="84"/>
      <c r="L266" s="84"/>
      <c r="M266" s="84"/>
      <c r="N266" s="84"/>
      <c r="O266" s="84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</row>
    <row r="267" spans="1:48" ht="15" customHeight="1" x14ac:dyDescent="0.25">
      <c r="A267" s="16"/>
      <c r="B267" s="16"/>
      <c r="C267" s="16"/>
      <c r="D267" s="82"/>
      <c r="E267" s="82"/>
      <c r="F267" s="83"/>
      <c r="G267" s="83"/>
      <c r="H267" s="83"/>
      <c r="I267" s="83"/>
      <c r="J267" s="84"/>
      <c r="K267" s="84"/>
      <c r="L267" s="84"/>
      <c r="M267" s="84"/>
      <c r="N267" s="84"/>
      <c r="O267" s="84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</row>
    <row r="268" spans="1:48" ht="15" customHeight="1" x14ac:dyDescent="0.25">
      <c r="A268" s="16"/>
      <c r="B268" s="16"/>
      <c r="C268" s="16"/>
      <c r="D268" s="82"/>
      <c r="E268" s="82"/>
      <c r="F268" s="83"/>
      <c r="G268" s="83"/>
      <c r="H268" s="83"/>
      <c r="I268" s="83"/>
      <c r="J268" s="84"/>
      <c r="K268" s="84"/>
      <c r="L268" s="84"/>
      <c r="M268" s="84"/>
      <c r="N268" s="84"/>
      <c r="O268" s="84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</row>
    <row r="269" spans="1:48" ht="15" customHeight="1" x14ac:dyDescent="0.25">
      <c r="A269" s="16"/>
      <c r="B269" s="16"/>
      <c r="C269" s="16"/>
      <c r="D269" s="82"/>
      <c r="E269" s="82"/>
      <c r="F269" s="83"/>
      <c r="G269" s="83"/>
      <c r="H269" s="83"/>
      <c r="I269" s="83"/>
      <c r="J269" s="84"/>
      <c r="K269" s="84"/>
      <c r="L269" s="84"/>
      <c r="M269" s="84"/>
      <c r="N269" s="84"/>
      <c r="O269" s="84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</row>
    <row r="270" spans="1:48" ht="15" customHeight="1" x14ac:dyDescent="0.25">
      <c r="A270" s="16"/>
      <c r="B270" s="16"/>
      <c r="C270" s="16"/>
      <c r="D270" s="82"/>
      <c r="E270" s="82"/>
      <c r="F270" s="83"/>
      <c r="G270" s="83"/>
      <c r="H270" s="83"/>
      <c r="I270" s="83"/>
      <c r="J270" s="84"/>
      <c r="K270" s="84"/>
      <c r="L270" s="84"/>
      <c r="M270" s="84"/>
      <c r="N270" s="84"/>
      <c r="O270" s="84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</row>
    <row r="271" spans="1:48" ht="15" customHeight="1" x14ac:dyDescent="0.25">
      <c r="A271" s="16"/>
      <c r="B271" s="16"/>
      <c r="C271" s="16"/>
      <c r="D271" s="82"/>
      <c r="E271" s="82"/>
      <c r="F271" s="83"/>
      <c r="G271" s="83"/>
      <c r="H271" s="83"/>
      <c r="I271" s="83"/>
      <c r="J271" s="84"/>
      <c r="K271" s="84"/>
      <c r="L271" s="84"/>
      <c r="M271" s="84"/>
      <c r="N271" s="84"/>
      <c r="O271" s="84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</row>
    <row r="272" spans="1:48" ht="15" customHeight="1" x14ac:dyDescent="0.25">
      <c r="A272" s="16"/>
      <c r="B272" s="16"/>
      <c r="C272" s="16"/>
      <c r="D272" s="82"/>
      <c r="E272" s="82"/>
      <c r="F272" s="83"/>
      <c r="G272" s="83"/>
      <c r="H272" s="83"/>
      <c r="I272" s="83"/>
      <c r="J272" s="84"/>
      <c r="K272" s="84"/>
      <c r="L272" s="84"/>
      <c r="M272" s="84"/>
      <c r="N272" s="84"/>
      <c r="O272" s="84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</row>
    <row r="273" spans="1:48" ht="15" customHeight="1" x14ac:dyDescent="0.25">
      <c r="A273" s="16"/>
      <c r="B273" s="16"/>
      <c r="C273" s="16"/>
      <c r="D273" s="82"/>
      <c r="E273" s="82"/>
      <c r="F273" s="83"/>
      <c r="G273" s="83"/>
      <c r="H273" s="83"/>
      <c r="I273" s="83"/>
      <c r="J273" s="84"/>
      <c r="K273" s="84"/>
      <c r="L273" s="84"/>
      <c r="M273" s="84"/>
      <c r="N273" s="84"/>
      <c r="O273" s="84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</row>
    <row r="274" spans="1:48" ht="15" customHeight="1" x14ac:dyDescent="0.25">
      <c r="A274" s="16"/>
      <c r="B274" s="16"/>
      <c r="C274" s="16"/>
      <c r="D274" s="82"/>
      <c r="E274" s="82"/>
      <c r="F274" s="83"/>
      <c r="G274" s="83"/>
      <c r="H274" s="83"/>
      <c r="I274" s="83"/>
      <c r="J274" s="84"/>
      <c r="K274" s="84"/>
      <c r="L274" s="84"/>
      <c r="M274" s="84"/>
      <c r="N274" s="84"/>
      <c r="O274" s="84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</row>
    <row r="275" spans="1:48" ht="15" customHeight="1" x14ac:dyDescent="0.25">
      <c r="A275" s="16"/>
      <c r="B275" s="16"/>
      <c r="C275" s="16"/>
      <c r="D275" s="82"/>
      <c r="E275" s="82"/>
      <c r="F275" s="83"/>
      <c r="G275" s="83"/>
      <c r="H275" s="83"/>
      <c r="I275" s="83"/>
      <c r="J275" s="84"/>
      <c r="K275" s="84"/>
      <c r="L275" s="84"/>
      <c r="M275" s="84"/>
      <c r="N275" s="84"/>
      <c r="O275" s="84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</row>
    <row r="276" spans="1:48" ht="15" customHeight="1" x14ac:dyDescent="0.25">
      <c r="A276" s="16"/>
      <c r="B276" s="16"/>
      <c r="C276" s="16"/>
      <c r="D276" s="82"/>
      <c r="E276" s="82"/>
      <c r="F276" s="83"/>
      <c r="G276" s="83"/>
      <c r="H276" s="83"/>
      <c r="I276" s="83"/>
      <c r="J276" s="84"/>
      <c r="K276" s="84"/>
      <c r="L276" s="84"/>
      <c r="M276" s="84"/>
      <c r="N276" s="84"/>
      <c r="O276" s="84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</row>
    <row r="277" spans="1:48" ht="15" customHeight="1" x14ac:dyDescent="0.25">
      <c r="A277" s="16"/>
      <c r="B277" s="16"/>
      <c r="C277" s="16"/>
      <c r="D277" s="82"/>
      <c r="E277" s="82"/>
      <c r="F277" s="83"/>
      <c r="G277" s="83"/>
      <c r="H277" s="83"/>
      <c r="I277" s="83"/>
      <c r="J277" s="84"/>
      <c r="K277" s="84"/>
      <c r="L277" s="84"/>
      <c r="M277" s="84"/>
      <c r="N277" s="84"/>
      <c r="O277" s="84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</row>
    <row r="278" spans="1:48" ht="15" customHeight="1" x14ac:dyDescent="0.25">
      <c r="A278" s="16"/>
      <c r="B278" s="16"/>
      <c r="C278" s="16"/>
      <c r="D278" s="82"/>
      <c r="E278" s="82"/>
      <c r="F278" s="83"/>
      <c r="G278" s="83"/>
      <c r="H278" s="83"/>
      <c r="I278" s="83"/>
      <c r="J278" s="84"/>
      <c r="K278" s="84"/>
      <c r="L278" s="84"/>
      <c r="M278" s="84"/>
      <c r="N278" s="84"/>
      <c r="O278" s="84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</row>
    <row r="279" spans="1:48" ht="15" customHeight="1" x14ac:dyDescent="0.25">
      <c r="A279" s="16"/>
      <c r="B279" s="16"/>
      <c r="C279" s="16"/>
      <c r="D279" s="82"/>
      <c r="E279" s="82"/>
      <c r="F279" s="83"/>
      <c r="G279" s="83"/>
      <c r="H279" s="83"/>
      <c r="I279" s="83"/>
      <c r="J279" s="84"/>
      <c r="K279" s="84"/>
      <c r="L279" s="84"/>
      <c r="M279" s="84"/>
      <c r="N279" s="84"/>
      <c r="O279" s="84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</row>
    <row r="280" spans="1:48" ht="15" customHeight="1" x14ac:dyDescent="0.25">
      <c r="A280" s="16"/>
      <c r="B280" s="16"/>
      <c r="C280" s="16"/>
      <c r="D280" s="82"/>
      <c r="E280" s="82"/>
      <c r="F280" s="83"/>
      <c r="G280" s="83"/>
      <c r="H280" s="83"/>
      <c r="I280" s="83"/>
      <c r="J280" s="84"/>
      <c r="K280" s="84"/>
      <c r="L280" s="84"/>
      <c r="M280" s="84"/>
      <c r="N280" s="84"/>
      <c r="O280" s="84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</row>
    <row r="281" spans="1:48" ht="15" customHeight="1" x14ac:dyDescent="0.25">
      <c r="A281" s="16"/>
      <c r="B281" s="16"/>
      <c r="C281" s="16"/>
      <c r="D281" s="82"/>
      <c r="E281" s="82"/>
      <c r="F281" s="83"/>
      <c r="G281" s="83"/>
      <c r="H281" s="83"/>
      <c r="I281" s="83"/>
      <c r="J281" s="84"/>
      <c r="K281" s="84"/>
      <c r="L281" s="84"/>
      <c r="M281" s="84"/>
      <c r="N281" s="84"/>
      <c r="O281" s="84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</row>
    <row r="282" spans="1:48" ht="15" customHeight="1" x14ac:dyDescent="0.25">
      <c r="A282" s="16"/>
      <c r="B282" s="16"/>
      <c r="C282" s="16"/>
      <c r="D282" s="82"/>
      <c r="E282" s="82"/>
      <c r="F282" s="83"/>
      <c r="G282" s="83"/>
      <c r="H282" s="83"/>
      <c r="I282" s="83"/>
      <c r="J282" s="84"/>
      <c r="K282" s="84"/>
      <c r="L282" s="84"/>
      <c r="M282" s="84"/>
      <c r="N282" s="84"/>
      <c r="O282" s="84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</row>
    <row r="283" spans="1:48" ht="15" customHeight="1" x14ac:dyDescent="0.25">
      <c r="A283" s="16"/>
      <c r="B283" s="16"/>
      <c r="C283" s="16"/>
      <c r="D283" s="82"/>
      <c r="E283" s="82"/>
      <c r="F283" s="83"/>
      <c r="G283" s="83"/>
      <c r="H283" s="83"/>
      <c r="I283" s="83"/>
      <c r="J283" s="84"/>
      <c r="K283" s="84"/>
      <c r="L283" s="84"/>
      <c r="M283" s="84"/>
      <c r="N283" s="84"/>
      <c r="O283" s="84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</row>
    <row r="284" spans="1:48" ht="15" customHeight="1" x14ac:dyDescent="0.25">
      <c r="A284" s="16"/>
      <c r="B284" s="16"/>
      <c r="C284" s="16"/>
      <c r="D284" s="82"/>
      <c r="E284" s="82"/>
      <c r="F284" s="83"/>
      <c r="G284" s="83"/>
      <c r="H284" s="83"/>
      <c r="I284" s="83"/>
      <c r="J284" s="84"/>
      <c r="K284" s="84"/>
      <c r="L284" s="84"/>
      <c r="M284" s="84"/>
      <c r="N284" s="84"/>
      <c r="O284" s="84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</row>
    <row r="285" spans="1:48" ht="15" customHeight="1" x14ac:dyDescent="0.25">
      <c r="A285" s="16"/>
      <c r="B285" s="16"/>
      <c r="C285" s="16"/>
      <c r="D285" s="82"/>
      <c r="E285" s="82"/>
      <c r="F285" s="83"/>
      <c r="G285" s="83"/>
      <c r="H285" s="83"/>
      <c r="I285" s="83"/>
      <c r="J285" s="84"/>
      <c r="K285" s="84"/>
      <c r="L285" s="84"/>
      <c r="M285" s="84"/>
      <c r="N285" s="84"/>
      <c r="O285" s="84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</row>
    <row r="286" spans="1:48" ht="15" customHeight="1" x14ac:dyDescent="0.25">
      <c r="A286" s="16"/>
      <c r="B286" s="16"/>
      <c r="C286" s="16"/>
      <c r="D286" s="82"/>
      <c r="E286" s="82"/>
      <c r="F286" s="83"/>
      <c r="G286" s="83"/>
      <c r="H286" s="83"/>
      <c r="I286" s="83"/>
      <c r="J286" s="84"/>
      <c r="K286" s="84"/>
      <c r="L286" s="84"/>
      <c r="M286" s="84"/>
      <c r="N286" s="84"/>
      <c r="O286" s="84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</row>
    <row r="287" spans="1:48" ht="15" customHeight="1" x14ac:dyDescent="0.25">
      <c r="A287" s="16"/>
      <c r="B287" s="16"/>
      <c r="C287" s="16"/>
      <c r="D287" s="82"/>
      <c r="E287" s="82"/>
      <c r="F287" s="83"/>
      <c r="G287" s="83"/>
      <c r="H287" s="83"/>
      <c r="I287" s="83"/>
      <c r="J287" s="84"/>
      <c r="K287" s="84"/>
      <c r="L287" s="84"/>
      <c r="M287" s="84"/>
      <c r="N287" s="84"/>
      <c r="O287" s="84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</row>
    <row r="288" spans="1:48" ht="15" customHeight="1" x14ac:dyDescent="0.25">
      <c r="A288" s="16"/>
      <c r="B288" s="16"/>
      <c r="C288" s="16"/>
      <c r="D288" s="82"/>
      <c r="E288" s="82"/>
      <c r="F288" s="83"/>
      <c r="G288" s="83"/>
      <c r="H288" s="83"/>
      <c r="I288" s="83"/>
      <c r="J288" s="84"/>
      <c r="K288" s="84"/>
      <c r="L288" s="84"/>
      <c r="M288" s="84"/>
      <c r="N288" s="84"/>
      <c r="O288" s="84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</row>
    <row r="289" spans="1:48" ht="15" customHeight="1" x14ac:dyDescent="0.25">
      <c r="A289" s="16"/>
      <c r="B289" s="16"/>
      <c r="C289" s="16"/>
      <c r="D289" s="82"/>
      <c r="E289" s="82"/>
      <c r="F289" s="83"/>
      <c r="G289" s="83"/>
      <c r="H289" s="83"/>
      <c r="I289" s="83"/>
      <c r="J289" s="84"/>
      <c r="K289" s="84"/>
      <c r="L289" s="84"/>
      <c r="M289" s="84"/>
      <c r="N289" s="84"/>
      <c r="O289" s="84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</row>
    <row r="290" spans="1:48" ht="15" customHeight="1" x14ac:dyDescent="0.25">
      <c r="A290" s="16"/>
      <c r="B290" s="16"/>
      <c r="C290" s="16"/>
      <c r="D290" s="82"/>
      <c r="E290" s="82"/>
      <c r="F290" s="83"/>
      <c r="G290" s="83"/>
      <c r="H290" s="83"/>
      <c r="I290" s="83"/>
      <c r="J290" s="84"/>
      <c r="K290" s="84"/>
      <c r="L290" s="84"/>
      <c r="M290" s="84"/>
      <c r="N290" s="84"/>
      <c r="O290" s="84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</row>
    <row r="291" spans="1:48" ht="15" customHeight="1" x14ac:dyDescent="0.25">
      <c r="A291" s="16"/>
      <c r="B291" s="16"/>
      <c r="C291" s="16"/>
      <c r="D291" s="82"/>
      <c r="E291" s="82"/>
      <c r="F291" s="83"/>
      <c r="G291" s="83"/>
      <c r="H291" s="83"/>
      <c r="I291" s="83"/>
      <c r="J291" s="84"/>
      <c r="K291" s="84"/>
      <c r="L291" s="84"/>
      <c r="M291" s="84"/>
      <c r="N291" s="84"/>
      <c r="O291" s="84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</row>
    <row r="292" spans="1:48" ht="15" customHeight="1" x14ac:dyDescent="0.25">
      <c r="A292" s="16"/>
      <c r="B292" s="16"/>
      <c r="C292" s="16"/>
      <c r="D292" s="82"/>
      <c r="E292" s="82"/>
      <c r="F292" s="83"/>
      <c r="G292" s="83"/>
      <c r="H292" s="83"/>
      <c r="I292" s="83"/>
      <c r="J292" s="84"/>
      <c r="K292" s="84"/>
      <c r="L292" s="84"/>
      <c r="M292" s="84"/>
      <c r="N292" s="84"/>
      <c r="O292" s="84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</row>
    <row r="293" spans="1:48" ht="15" customHeight="1" x14ac:dyDescent="0.25">
      <c r="A293" s="16"/>
      <c r="B293" s="16"/>
      <c r="C293" s="16"/>
      <c r="D293" s="82"/>
      <c r="E293" s="82"/>
      <c r="F293" s="83"/>
      <c r="G293" s="83"/>
      <c r="H293" s="83"/>
      <c r="I293" s="83"/>
      <c r="J293" s="84"/>
      <c r="K293" s="84"/>
      <c r="L293" s="84"/>
      <c r="M293" s="84"/>
      <c r="N293" s="84"/>
      <c r="O293" s="84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</row>
    <row r="294" spans="1:48" ht="15" customHeight="1" x14ac:dyDescent="0.25">
      <c r="A294" s="16"/>
      <c r="B294" s="16"/>
      <c r="C294" s="16"/>
      <c r="D294" s="82"/>
      <c r="E294" s="82"/>
      <c r="F294" s="83"/>
      <c r="G294" s="83"/>
      <c r="H294" s="83"/>
      <c r="I294" s="83"/>
      <c r="J294" s="84"/>
      <c r="K294" s="84"/>
      <c r="L294" s="84"/>
      <c r="M294" s="84"/>
      <c r="N294" s="84"/>
      <c r="O294" s="84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</row>
    <row r="295" spans="1:48" ht="15" customHeight="1" x14ac:dyDescent="0.25">
      <c r="A295" s="16"/>
      <c r="B295" s="16"/>
      <c r="C295" s="16"/>
      <c r="D295" s="82"/>
      <c r="E295" s="82"/>
      <c r="F295" s="83"/>
      <c r="G295" s="83"/>
      <c r="H295" s="83"/>
      <c r="I295" s="83"/>
      <c r="J295" s="84"/>
      <c r="K295" s="84"/>
      <c r="L295" s="84"/>
      <c r="M295" s="84"/>
      <c r="N295" s="84"/>
      <c r="O295" s="84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</row>
    <row r="296" spans="1:48" ht="15" customHeight="1" x14ac:dyDescent="0.25">
      <c r="A296" s="16"/>
      <c r="B296" s="16"/>
      <c r="C296" s="16"/>
      <c r="D296" s="82"/>
      <c r="E296" s="82"/>
      <c r="F296" s="83"/>
      <c r="G296" s="83"/>
      <c r="H296" s="83"/>
      <c r="I296" s="83"/>
      <c r="J296" s="84"/>
      <c r="K296" s="84"/>
      <c r="L296" s="84"/>
      <c r="M296" s="84"/>
      <c r="N296" s="84"/>
      <c r="O296" s="84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</row>
    <row r="297" spans="1:48" ht="15" customHeight="1" x14ac:dyDescent="0.25">
      <c r="A297" s="16"/>
      <c r="B297" s="16"/>
      <c r="C297" s="16"/>
      <c r="D297" s="82"/>
      <c r="E297" s="82"/>
      <c r="F297" s="83"/>
      <c r="G297" s="83"/>
      <c r="H297" s="83"/>
      <c r="I297" s="83"/>
      <c r="J297" s="84"/>
      <c r="K297" s="84"/>
      <c r="L297" s="84"/>
      <c r="M297" s="84"/>
      <c r="N297" s="84"/>
      <c r="O297" s="84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</row>
    <row r="298" spans="1:48" ht="15" customHeight="1" x14ac:dyDescent="0.25">
      <c r="A298" s="16"/>
      <c r="B298" s="16"/>
      <c r="C298" s="16"/>
      <c r="D298" s="82"/>
      <c r="E298" s="82"/>
      <c r="F298" s="83"/>
      <c r="G298" s="83"/>
      <c r="H298" s="83"/>
      <c r="I298" s="83"/>
      <c r="J298" s="84"/>
      <c r="K298" s="84"/>
      <c r="L298" s="84"/>
      <c r="M298" s="84"/>
      <c r="N298" s="84"/>
      <c r="O298" s="84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</row>
    <row r="299" spans="1:48" ht="15" customHeight="1" x14ac:dyDescent="0.25">
      <c r="A299" s="16"/>
      <c r="B299" s="16"/>
      <c r="C299" s="16"/>
      <c r="D299" s="82"/>
      <c r="E299" s="82"/>
      <c r="F299" s="83"/>
      <c r="G299" s="83"/>
      <c r="H299" s="83"/>
      <c r="I299" s="83"/>
      <c r="J299" s="84"/>
      <c r="K299" s="84"/>
      <c r="L299" s="84"/>
      <c r="M299" s="84"/>
      <c r="N299" s="84"/>
      <c r="O299" s="84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</row>
    <row r="300" spans="1:48" ht="15" customHeight="1" x14ac:dyDescent="0.25">
      <c r="A300" s="16"/>
      <c r="B300" s="16"/>
      <c r="C300" s="16"/>
      <c r="D300" s="82"/>
      <c r="E300" s="82"/>
      <c r="F300" s="83"/>
      <c r="G300" s="83"/>
      <c r="H300" s="83"/>
      <c r="I300" s="83"/>
      <c r="J300" s="84"/>
      <c r="K300" s="84"/>
      <c r="L300" s="84"/>
      <c r="M300" s="84"/>
      <c r="N300" s="84"/>
      <c r="O300" s="84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</row>
    <row r="301" spans="1:48" ht="15" customHeight="1" x14ac:dyDescent="0.25">
      <c r="A301" s="16"/>
      <c r="B301" s="16"/>
      <c r="C301" s="16"/>
      <c r="D301" s="82"/>
      <c r="E301" s="82"/>
      <c r="F301" s="83"/>
      <c r="G301" s="83"/>
      <c r="H301" s="83"/>
      <c r="I301" s="83"/>
      <c r="J301" s="84"/>
      <c r="K301" s="84"/>
      <c r="L301" s="84"/>
      <c r="M301" s="84"/>
      <c r="N301" s="84"/>
      <c r="O301" s="84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</row>
    <row r="302" spans="1:48" ht="15" customHeight="1" x14ac:dyDescent="0.25">
      <c r="A302" s="16"/>
      <c r="B302" s="16"/>
      <c r="C302" s="16"/>
      <c r="D302" s="82"/>
      <c r="E302" s="82"/>
      <c r="F302" s="83"/>
      <c r="G302" s="83"/>
      <c r="H302" s="83"/>
      <c r="I302" s="83"/>
      <c r="J302" s="84"/>
      <c r="K302" s="84"/>
      <c r="L302" s="84"/>
      <c r="M302" s="84"/>
      <c r="N302" s="84"/>
      <c r="O302" s="84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</row>
    <row r="303" spans="1:48" ht="15" customHeight="1" x14ac:dyDescent="0.25">
      <c r="A303" s="16"/>
      <c r="B303" s="16"/>
      <c r="C303" s="16"/>
      <c r="D303" s="82"/>
      <c r="E303" s="82"/>
      <c r="F303" s="83"/>
      <c r="G303" s="83"/>
      <c r="H303" s="83"/>
      <c r="I303" s="83"/>
      <c r="J303" s="84"/>
      <c r="K303" s="84"/>
      <c r="L303" s="84"/>
      <c r="M303" s="84"/>
      <c r="N303" s="84"/>
      <c r="O303" s="84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</row>
    <row r="304" spans="1:48" ht="15" customHeight="1" x14ac:dyDescent="0.25">
      <c r="A304" s="16"/>
      <c r="B304" s="16"/>
      <c r="C304" s="16"/>
      <c r="D304" s="82"/>
      <c r="E304" s="82"/>
      <c r="F304" s="83"/>
      <c r="G304" s="83"/>
      <c r="H304" s="83"/>
      <c r="I304" s="83"/>
      <c r="J304" s="84"/>
      <c r="K304" s="84"/>
      <c r="L304" s="84"/>
      <c r="M304" s="84"/>
      <c r="N304" s="84"/>
      <c r="O304" s="84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</row>
    <row r="305" spans="1:48" ht="15" customHeight="1" x14ac:dyDescent="0.25">
      <c r="A305" s="16"/>
      <c r="B305" s="16"/>
      <c r="C305" s="16"/>
      <c r="D305" s="82"/>
      <c r="E305" s="82"/>
      <c r="F305" s="83"/>
      <c r="G305" s="83"/>
      <c r="H305" s="83"/>
      <c r="I305" s="83"/>
      <c r="J305" s="84"/>
      <c r="K305" s="84"/>
      <c r="L305" s="84"/>
      <c r="M305" s="84"/>
      <c r="N305" s="84"/>
      <c r="O305" s="84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</row>
    <row r="306" spans="1:48" ht="15" customHeight="1" x14ac:dyDescent="0.25">
      <c r="A306" s="16"/>
      <c r="B306" s="16"/>
      <c r="C306" s="16"/>
      <c r="D306" s="82"/>
      <c r="E306" s="82"/>
      <c r="F306" s="83"/>
      <c r="G306" s="83"/>
      <c r="H306" s="83"/>
      <c r="I306" s="83"/>
      <c r="J306" s="84"/>
      <c r="K306" s="84"/>
      <c r="L306" s="84"/>
      <c r="M306" s="84"/>
      <c r="N306" s="84"/>
      <c r="O306" s="84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</row>
    <row r="307" spans="1:48" ht="15" customHeight="1" x14ac:dyDescent="0.25">
      <c r="A307" s="16"/>
      <c r="B307" s="16"/>
      <c r="C307" s="16"/>
      <c r="D307" s="82"/>
      <c r="E307" s="82"/>
      <c r="F307" s="83"/>
      <c r="G307" s="83"/>
      <c r="H307" s="83"/>
      <c r="I307" s="83"/>
      <c r="J307" s="84"/>
      <c r="K307" s="84"/>
      <c r="L307" s="84"/>
      <c r="M307" s="84"/>
      <c r="N307" s="84"/>
      <c r="O307" s="84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</row>
    <row r="308" spans="1:48" ht="15" customHeight="1" x14ac:dyDescent="0.25">
      <c r="A308" s="16"/>
      <c r="B308" s="16"/>
      <c r="C308" s="16"/>
      <c r="D308" s="82"/>
      <c r="E308" s="82"/>
      <c r="F308" s="83"/>
      <c r="G308" s="83"/>
      <c r="H308" s="83"/>
      <c r="I308" s="83"/>
      <c r="J308" s="84"/>
      <c r="K308" s="84"/>
      <c r="L308" s="84"/>
      <c r="M308" s="84"/>
      <c r="N308" s="84"/>
      <c r="O308" s="84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</row>
    <row r="309" spans="1:48" ht="15" customHeight="1" x14ac:dyDescent="0.25">
      <c r="A309" s="16"/>
      <c r="B309" s="16"/>
      <c r="C309" s="16"/>
      <c r="D309" s="82"/>
      <c r="E309" s="82"/>
      <c r="F309" s="83"/>
      <c r="G309" s="83"/>
      <c r="H309" s="83"/>
      <c r="I309" s="83"/>
      <c r="J309" s="84"/>
      <c r="K309" s="84"/>
      <c r="L309" s="84"/>
      <c r="M309" s="84"/>
      <c r="N309" s="84"/>
      <c r="O309" s="84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</row>
    <row r="310" spans="1:48" ht="15" customHeight="1" x14ac:dyDescent="0.25">
      <c r="A310" s="16"/>
      <c r="B310" s="16"/>
      <c r="C310" s="16"/>
      <c r="D310" s="82"/>
      <c r="E310" s="82"/>
      <c r="F310" s="83"/>
      <c r="G310" s="83"/>
      <c r="H310" s="83"/>
      <c r="I310" s="83"/>
      <c r="J310" s="84"/>
      <c r="K310" s="84"/>
      <c r="L310" s="84"/>
      <c r="M310" s="84"/>
      <c r="N310" s="84"/>
      <c r="O310" s="84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</row>
    <row r="311" spans="1:48" ht="15" customHeight="1" x14ac:dyDescent="0.25">
      <c r="A311" s="16"/>
      <c r="B311" s="16"/>
      <c r="C311" s="16"/>
      <c r="D311" s="82"/>
      <c r="E311" s="82"/>
      <c r="F311" s="83"/>
      <c r="G311" s="83"/>
      <c r="H311" s="83"/>
      <c r="I311" s="83"/>
      <c r="J311" s="84"/>
      <c r="K311" s="84"/>
      <c r="L311" s="84"/>
      <c r="M311" s="84"/>
      <c r="N311" s="84"/>
      <c r="O311" s="84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</row>
    <row r="312" spans="1:48" ht="15" customHeight="1" x14ac:dyDescent="0.25">
      <c r="A312" s="16"/>
      <c r="B312" s="16"/>
      <c r="C312" s="16"/>
      <c r="D312" s="82"/>
      <c r="E312" s="82"/>
      <c r="F312" s="83"/>
      <c r="G312" s="83"/>
      <c r="H312" s="83"/>
      <c r="I312" s="83"/>
      <c r="J312" s="84"/>
      <c r="K312" s="84"/>
      <c r="L312" s="84"/>
      <c r="M312" s="84"/>
      <c r="N312" s="84"/>
      <c r="O312" s="84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</row>
    <row r="313" spans="1:48" ht="15" customHeight="1" x14ac:dyDescent="0.25">
      <c r="A313" s="16"/>
      <c r="B313" s="16"/>
      <c r="C313" s="16"/>
      <c r="D313" s="82"/>
      <c r="E313" s="82"/>
      <c r="F313" s="83"/>
      <c r="G313" s="83"/>
      <c r="H313" s="83"/>
      <c r="I313" s="83"/>
      <c r="J313" s="84"/>
      <c r="K313" s="84"/>
      <c r="L313" s="84"/>
      <c r="M313" s="84"/>
      <c r="N313" s="84"/>
      <c r="O313" s="84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</row>
    <row r="314" spans="1:48" ht="15" customHeight="1" x14ac:dyDescent="0.25">
      <c r="A314" s="16"/>
      <c r="B314" s="16"/>
      <c r="C314" s="16"/>
      <c r="D314" s="82"/>
      <c r="E314" s="82"/>
      <c r="F314" s="83"/>
      <c r="G314" s="83"/>
      <c r="H314" s="83"/>
      <c r="I314" s="83"/>
      <c r="J314" s="84"/>
      <c r="K314" s="84"/>
      <c r="L314" s="84"/>
      <c r="M314" s="84"/>
      <c r="N314" s="84"/>
      <c r="O314" s="84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</row>
    <row r="315" spans="1:48" ht="15" customHeight="1" x14ac:dyDescent="0.25">
      <c r="A315" s="16"/>
      <c r="B315" s="16"/>
      <c r="C315" s="16"/>
      <c r="D315" s="82"/>
      <c r="E315" s="82"/>
      <c r="F315" s="83"/>
      <c r="G315" s="83"/>
      <c r="H315" s="83"/>
      <c r="I315" s="83"/>
      <c r="J315" s="84"/>
      <c r="K315" s="84"/>
      <c r="L315" s="84"/>
      <c r="M315" s="84"/>
      <c r="N315" s="84"/>
      <c r="O315" s="84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</row>
    <row r="316" spans="1:48" ht="15" customHeight="1" x14ac:dyDescent="0.25">
      <c r="A316" s="16"/>
      <c r="B316" s="16"/>
      <c r="C316" s="16"/>
      <c r="D316" s="82"/>
      <c r="E316" s="82"/>
      <c r="F316" s="83"/>
      <c r="G316" s="83"/>
      <c r="H316" s="83"/>
      <c r="I316" s="83"/>
      <c r="J316" s="84"/>
      <c r="K316" s="84"/>
      <c r="L316" s="84"/>
      <c r="M316" s="84"/>
      <c r="N316" s="84"/>
      <c r="O316" s="84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</row>
    <row r="317" spans="1:48" ht="15" customHeight="1" x14ac:dyDescent="0.25">
      <c r="A317" s="16"/>
      <c r="B317" s="16"/>
      <c r="C317" s="16"/>
      <c r="D317" s="82"/>
      <c r="E317" s="82"/>
      <c r="F317" s="83"/>
      <c r="G317" s="83"/>
      <c r="H317" s="83"/>
      <c r="I317" s="83"/>
      <c r="J317" s="84"/>
      <c r="K317" s="84"/>
      <c r="L317" s="84"/>
      <c r="M317" s="84"/>
      <c r="N317" s="84"/>
      <c r="O317" s="84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</row>
    <row r="318" spans="1:48" ht="15" customHeight="1" x14ac:dyDescent="0.25">
      <c r="A318" s="16"/>
      <c r="B318" s="16"/>
      <c r="C318" s="16"/>
      <c r="D318" s="82"/>
      <c r="E318" s="82"/>
      <c r="F318" s="83"/>
      <c r="G318" s="83"/>
      <c r="H318" s="83"/>
      <c r="I318" s="83"/>
      <c r="J318" s="84"/>
      <c r="K318" s="84"/>
      <c r="L318" s="84"/>
      <c r="M318" s="84"/>
      <c r="N318" s="84"/>
      <c r="O318" s="84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</row>
    <row r="319" spans="1:48" ht="15" customHeight="1" x14ac:dyDescent="0.25">
      <c r="A319" s="16"/>
      <c r="B319" s="16"/>
      <c r="C319" s="16"/>
      <c r="D319" s="82"/>
      <c r="E319" s="82"/>
      <c r="F319" s="83"/>
      <c r="G319" s="83"/>
      <c r="H319" s="83"/>
      <c r="I319" s="83"/>
      <c r="J319" s="84"/>
      <c r="K319" s="84"/>
      <c r="L319" s="84"/>
      <c r="M319" s="84"/>
      <c r="N319" s="84"/>
      <c r="O319" s="84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</row>
    <row r="320" spans="1:48" ht="15" customHeight="1" x14ac:dyDescent="0.25">
      <c r="A320" s="16"/>
      <c r="B320" s="16"/>
      <c r="C320" s="16"/>
      <c r="D320" s="82"/>
      <c r="E320" s="82"/>
      <c r="F320" s="83"/>
      <c r="G320" s="83"/>
      <c r="H320" s="83"/>
      <c r="I320" s="83"/>
      <c r="J320" s="84"/>
      <c r="K320" s="84"/>
      <c r="L320" s="84"/>
      <c r="M320" s="84"/>
      <c r="N320" s="84"/>
      <c r="O320" s="84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</row>
    <row r="321" spans="1:48" ht="15" customHeight="1" x14ac:dyDescent="0.25">
      <c r="A321" s="16"/>
      <c r="B321" s="16"/>
      <c r="C321" s="16"/>
      <c r="D321" s="82"/>
      <c r="E321" s="82"/>
      <c r="F321" s="83"/>
      <c r="G321" s="83"/>
      <c r="H321" s="83"/>
      <c r="I321" s="83"/>
      <c r="J321" s="84"/>
      <c r="K321" s="84"/>
      <c r="L321" s="84"/>
      <c r="M321" s="84"/>
      <c r="N321" s="84"/>
      <c r="O321" s="84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</row>
    <row r="322" spans="1:48" ht="15" customHeight="1" x14ac:dyDescent="0.25">
      <c r="A322" s="16"/>
      <c r="B322" s="16"/>
      <c r="C322" s="16"/>
      <c r="D322" s="82"/>
      <c r="E322" s="82"/>
      <c r="F322" s="83"/>
      <c r="G322" s="83"/>
      <c r="H322" s="83"/>
      <c r="I322" s="83"/>
      <c r="J322" s="84"/>
      <c r="K322" s="84"/>
      <c r="L322" s="84"/>
      <c r="M322" s="84"/>
      <c r="N322" s="84"/>
      <c r="O322" s="84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</row>
    <row r="323" spans="1:48" ht="15" customHeight="1" x14ac:dyDescent="0.25">
      <c r="A323" s="16"/>
      <c r="B323" s="16"/>
      <c r="C323" s="16"/>
      <c r="D323" s="82"/>
      <c r="E323" s="82"/>
      <c r="F323" s="83"/>
      <c r="G323" s="83"/>
      <c r="H323" s="83"/>
      <c r="I323" s="83"/>
      <c r="J323" s="84"/>
      <c r="K323" s="84"/>
      <c r="L323" s="84"/>
      <c r="M323" s="84"/>
      <c r="N323" s="84"/>
      <c r="O323" s="84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</row>
    <row r="324" spans="1:48" ht="15" customHeight="1" x14ac:dyDescent="0.25">
      <c r="A324" s="16"/>
      <c r="B324" s="16"/>
      <c r="C324" s="16"/>
      <c r="D324" s="82"/>
      <c r="E324" s="82"/>
      <c r="F324" s="83"/>
      <c r="G324" s="83"/>
      <c r="H324" s="83"/>
      <c r="I324" s="83"/>
      <c r="J324" s="84"/>
      <c r="K324" s="84"/>
      <c r="L324" s="84"/>
      <c r="M324" s="84"/>
      <c r="N324" s="84"/>
      <c r="O324" s="84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</row>
    <row r="325" spans="1:48" ht="15" customHeight="1" x14ac:dyDescent="0.25">
      <c r="A325" s="16"/>
      <c r="B325" s="16"/>
      <c r="C325" s="16"/>
      <c r="D325" s="82"/>
      <c r="E325" s="82"/>
      <c r="F325" s="83"/>
      <c r="G325" s="83"/>
      <c r="H325" s="83"/>
      <c r="I325" s="83"/>
      <c r="J325" s="84"/>
      <c r="K325" s="84"/>
      <c r="L325" s="84"/>
      <c r="M325" s="84"/>
      <c r="N325" s="84"/>
      <c r="O325" s="84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</row>
    <row r="326" spans="1:48" ht="15" customHeight="1" x14ac:dyDescent="0.25">
      <c r="A326" s="16"/>
      <c r="B326" s="16"/>
      <c r="C326" s="16"/>
      <c r="D326" s="82"/>
      <c r="E326" s="82"/>
      <c r="F326" s="83"/>
      <c r="G326" s="83"/>
      <c r="H326" s="83"/>
      <c r="I326" s="83"/>
      <c r="J326" s="84"/>
      <c r="K326" s="84"/>
      <c r="L326" s="84"/>
      <c r="M326" s="84"/>
      <c r="N326" s="84"/>
      <c r="O326" s="84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</row>
    <row r="327" spans="1:48" ht="15" customHeight="1" x14ac:dyDescent="0.25">
      <c r="A327" s="16"/>
      <c r="B327" s="16"/>
      <c r="C327" s="16"/>
      <c r="D327" s="82"/>
      <c r="E327" s="82"/>
      <c r="F327" s="83"/>
      <c r="G327" s="83"/>
      <c r="H327" s="83"/>
      <c r="I327" s="83"/>
      <c r="J327" s="84"/>
      <c r="K327" s="84"/>
      <c r="L327" s="84"/>
      <c r="M327" s="84"/>
      <c r="N327" s="84"/>
      <c r="O327" s="84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</row>
    <row r="328" spans="1:48" ht="15" customHeight="1" x14ac:dyDescent="0.25">
      <c r="A328" s="16"/>
      <c r="B328" s="16"/>
      <c r="C328" s="16"/>
      <c r="D328" s="82"/>
      <c r="E328" s="82"/>
      <c r="F328" s="83"/>
      <c r="G328" s="83"/>
      <c r="H328" s="83"/>
      <c r="I328" s="83"/>
      <c r="J328" s="84"/>
      <c r="K328" s="84"/>
      <c r="L328" s="84"/>
      <c r="M328" s="84"/>
      <c r="N328" s="84"/>
      <c r="O328" s="84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</row>
    <row r="329" spans="1:48" ht="15" customHeight="1" x14ac:dyDescent="0.25">
      <c r="A329" s="16"/>
      <c r="B329" s="16"/>
      <c r="C329" s="16"/>
      <c r="D329" s="82"/>
      <c r="E329" s="82"/>
      <c r="F329" s="83"/>
      <c r="G329" s="83"/>
      <c r="H329" s="83"/>
      <c r="I329" s="83"/>
      <c r="J329" s="84"/>
      <c r="K329" s="84"/>
      <c r="L329" s="84"/>
      <c r="M329" s="84"/>
      <c r="N329" s="84"/>
      <c r="O329" s="84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</row>
    <row r="330" spans="1:48" ht="15" customHeight="1" x14ac:dyDescent="0.25">
      <c r="A330" s="16"/>
      <c r="B330" s="16"/>
      <c r="C330" s="16"/>
      <c r="D330" s="82"/>
      <c r="E330" s="82"/>
      <c r="F330" s="83"/>
      <c r="G330" s="83"/>
      <c r="H330" s="83"/>
      <c r="I330" s="83"/>
      <c r="J330" s="84"/>
      <c r="K330" s="84"/>
      <c r="L330" s="84"/>
      <c r="M330" s="84"/>
      <c r="N330" s="84"/>
      <c r="O330" s="84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</row>
    <row r="331" spans="1:48" ht="15" customHeight="1" x14ac:dyDescent="0.25">
      <c r="A331" s="16"/>
      <c r="B331" s="16"/>
      <c r="C331" s="16"/>
      <c r="D331" s="82"/>
      <c r="E331" s="82"/>
      <c r="F331" s="83"/>
      <c r="G331" s="83"/>
      <c r="H331" s="83"/>
      <c r="I331" s="83"/>
      <c r="J331" s="84"/>
      <c r="K331" s="84"/>
      <c r="L331" s="84"/>
      <c r="M331" s="84"/>
      <c r="N331" s="84"/>
      <c r="O331" s="84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</row>
    <row r="332" spans="1:48" ht="15" customHeight="1" x14ac:dyDescent="0.25">
      <c r="A332" s="16"/>
      <c r="B332" s="16"/>
      <c r="C332" s="16"/>
      <c r="D332" s="82"/>
      <c r="E332" s="82"/>
      <c r="F332" s="83"/>
      <c r="G332" s="83"/>
      <c r="H332" s="83"/>
      <c r="I332" s="83"/>
      <c r="J332" s="84"/>
      <c r="K332" s="84"/>
      <c r="L332" s="84"/>
      <c r="M332" s="84"/>
      <c r="N332" s="84"/>
      <c r="O332" s="84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</row>
    <row r="333" spans="1:48" ht="15" customHeight="1" x14ac:dyDescent="0.25">
      <c r="A333" s="16"/>
      <c r="B333" s="16"/>
      <c r="C333" s="16"/>
      <c r="D333" s="82"/>
      <c r="E333" s="82"/>
      <c r="F333" s="83"/>
      <c r="G333" s="83"/>
      <c r="H333" s="83"/>
      <c r="I333" s="83"/>
      <c r="J333" s="84"/>
      <c r="K333" s="84"/>
      <c r="L333" s="84"/>
      <c r="M333" s="84"/>
      <c r="N333" s="84"/>
      <c r="O333" s="84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</row>
    <row r="334" spans="1:48" ht="15" customHeight="1" x14ac:dyDescent="0.25">
      <c r="A334" s="16"/>
      <c r="B334" s="16"/>
      <c r="C334" s="16"/>
      <c r="D334" s="82"/>
      <c r="E334" s="82"/>
      <c r="F334" s="83"/>
      <c r="G334" s="83"/>
      <c r="H334" s="83"/>
      <c r="I334" s="83"/>
      <c r="J334" s="84"/>
      <c r="K334" s="84"/>
      <c r="L334" s="84"/>
      <c r="M334" s="84"/>
      <c r="N334" s="84"/>
      <c r="O334" s="84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</row>
    <row r="335" spans="1:48" ht="15" customHeight="1" x14ac:dyDescent="0.25">
      <c r="A335" s="16"/>
      <c r="B335" s="16"/>
      <c r="C335" s="16"/>
      <c r="D335" s="82"/>
      <c r="E335" s="82"/>
      <c r="F335" s="83"/>
      <c r="G335" s="83"/>
      <c r="H335" s="83"/>
      <c r="I335" s="83"/>
      <c r="J335" s="84"/>
      <c r="K335" s="84"/>
      <c r="L335" s="84"/>
      <c r="M335" s="84"/>
      <c r="N335" s="84"/>
      <c r="O335" s="84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</row>
    <row r="336" spans="1:48" ht="15" customHeight="1" x14ac:dyDescent="0.25">
      <c r="A336" s="16"/>
      <c r="B336" s="16"/>
      <c r="C336" s="16"/>
      <c r="D336" s="82"/>
      <c r="E336" s="82"/>
      <c r="F336" s="83"/>
      <c r="G336" s="83"/>
      <c r="H336" s="83"/>
      <c r="I336" s="83"/>
      <c r="J336" s="84"/>
      <c r="K336" s="84"/>
      <c r="L336" s="84"/>
      <c r="M336" s="84"/>
      <c r="N336" s="84"/>
      <c r="O336" s="84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</row>
    <row r="337" spans="1:48" ht="15" customHeight="1" x14ac:dyDescent="0.25">
      <c r="A337" s="16"/>
      <c r="B337" s="16"/>
      <c r="C337" s="16"/>
      <c r="D337" s="82"/>
      <c r="E337" s="82"/>
      <c r="F337" s="83"/>
      <c r="G337" s="83"/>
      <c r="H337" s="83"/>
      <c r="I337" s="83"/>
      <c r="J337" s="84"/>
      <c r="K337" s="84"/>
      <c r="L337" s="84"/>
      <c r="M337" s="84"/>
      <c r="N337" s="84"/>
      <c r="O337" s="84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</row>
    <row r="338" spans="1:48" ht="15" customHeight="1" x14ac:dyDescent="0.25">
      <c r="A338" s="16"/>
      <c r="B338" s="16"/>
      <c r="C338" s="16"/>
      <c r="D338" s="82"/>
      <c r="E338" s="82"/>
      <c r="F338" s="83"/>
      <c r="G338" s="83"/>
      <c r="H338" s="83"/>
      <c r="I338" s="83"/>
      <c r="J338" s="84"/>
      <c r="K338" s="84"/>
      <c r="L338" s="84"/>
      <c r="M338" s="84"/>
      <c r="N338" s="84"/>
      <c r="O338" s="84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</row>
    <row r="339" spans="1:48" ht="15" customHeight="1" x14ac:dyDescent="0.25">
      <c r="A339" s="16"/>
      <c r="B339" s="16"/>
      <c r="C339" s="16"/>
      <c r="D339" s="82"/>
      <c r="E339" s="82"/>
      <c r="F339" s="83"/>
      <c r="G339" s="83"/>
      <c r="H339" s="83"/>
      <c r="I339" s="83"/>
      <c r="J339" s="84"/>
      <c r="K339" s="84"/>
      <c r="L339" s="84"/>
      <c r="M339" s="84"/>
      <c r="N339" s="84"/>
      <c r="O339" s="84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</row>
    <row r="340" spans="1:48" ht="15" customHeight="1" x14ac:dyDescent="0.25">
      <c r="A340" s="16"/>
      <c r="B340" s="16"/>
      <c r="C340" s="16"/>
      <c r="D340" s="82"/>
      <c r="E340" s="82"/>
      <c r="F340" s="83"/>
      <c r="G340" s="83"/>
      <c r="H340" s="83"/>
      <c r="I340" s="83"/>
      <c r="J340" s="84"/>
      <c r="K340" s="84"/>
      <c r="L340" s="84"/>
      <c r="M340" s="84"/>
      <c r="N340" s="84"/>
      <c r="O340" s="84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</row>
    <row r="341" spans="1:48" ht="15" customHeight="1" x14ac:dyDescent="0.25">
      <c r="A341" s="16"/>
      <c r="B341" s="16"/>
      <c r="C341" s="16"/>
      <c r="D341" s="82"/>
      <c r="E341" s="82"/>
      <c r="F341" s="83"/>
      <c r="G341" s="83"/>
      <c r="H341" s="83"/>
      <c r="I341" s="83"/>
      <c r="J341" s="84"/>
      <c r="K341" s="84"/>
      <c r="L341" s="84"/>
      <c r="M341" s="84"/>
      <c r="N341" s="84"/>
      <c r="O341" s="84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</row>
    <row r="342" spans="1:48" ht="15" customHeight="1" x14ac:dyDescent="0.25">
      <c r="A342" s="16"/>
      <c r="B342" s="16"/>
      <c r="C342" s="16"/>
      <c r="D342" s="82"/>
      <c r="E342" s="82"/>
      <c r="F342" s="83"/>
      <c r="G342" s="83"/>
      <c r="H342" s="83"/>
      <c r="I342" s="83"/>
      <c r="J342" s="84"/>
      <c r="K342" s="84"/>
      <c r="L342" s="84"/>
      <c r="M342" s="84"/>
      <c r="N342" s="84"/>
      <c r="O342" s="84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</row>
    <row r="343" spans="1:48" ht="15" customHeight="1" x14ac:dyDescent="0.25">
      <c r="A343" s="16"/>
      <c r="B343" s="16"/>
      <c r="C343" s="16"/>
      <c r="D343" s="82"/>
      <c r="E343" s="82"/>
      <c r="F343" s="83"/>
      <c r="G343" s="83"/>
      <c r="H343" s="83"/>
      <c r="I343" s="83"/>
      <c r="J343" s="84"/>
      <c r="K343" s="84"/>
      <c r="L343" s="84"/>
      <c r="M343" s="84"/>
      <c r="N343" s="84"/>
      <c r="O343" s="84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</row>
    <row r="344" spans="1:48" ht="15" customHeight="1" x14ac:dyDescent="0.25">
      <c r="A344" s="16"/>
      <c r="B344" s="16"/>
      <c r="C344" s="16"/>
      <c r="D344" s="82"/>
      <c r="E344" s="82"/>
      <c r="F344" s="83"/>
      <c r="G344" s="83"/>
      <c r="H344" s="83"/>
      <c r="I344" s="83"/>
      <c r="J344" s="84"/>
      <c r="K344" s="84"/>
      <c r="L344" s="84"/>
      <c r="M344" s="84"/>
      <c r="N344" s="84"/>
      <c r="O344" s="84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</row>
    <row r="345" spans="1:48" ht="15" customHeight="1" x14ac:dyDescent="0.25">
      <c r="A345" s="16"/>
      <c r="B345" s="16"/>
      <c r="C345" s="16"/>
      <c r="D345" s="82"/>
      <c r="E345" s="82"/>
      <c r="F345" s="83"/>
      <c r="G345" s="83"/>
      <c r="H345" s="83"/>
      <c r="I345" s="83"/>
      <c r="J345" s="84"/>
      <c r="K345" s="84"/>
      <c r="L345" s="84"/>
      <c r="M345" s="84"/>
      <c r="N345" s="84"/>
      <c r="O345" s="84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</row>
    <row r="346" spans="1:48" ht="15" customHeight="1" x14ac:dyDescent="0.25">
      <c r="A346" s="16"/>
      <c r="B346" s="16"/>
      <c r="C346" s="16"/>
      <c r="D346" s="82"/>
      <c r="E346" s="82"/>
      <c r="F346" s="83"/>
      <c r="G346" s="83"/>
      <c r="H346" s="83"/>
      <c r="I346" s="83"/>
      <c r="J346" s="84"/>
      <c r="K346" s="84"/>
      <c r="L346" s="84"/>
      <c r="M346" s="84"/>
      <c r="N346" s="84"/>
      <c r="O346" s="84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</row>
    <row r="347" spans="1:48" ht="15" customHeight="1" x14ac:dyDescent="0.25">
      <c r="A347" s="16"/>
      <c r="B347" s="16"/>
      <c r="C347" s="16"/>
      <c r="D347" s="82"/>
      <c r="E347" s="82"/>
      <c r="F347" s="83"/>
      <c r="G347" s="83"/>
      <c r="H347" s="83"/>
      <c r="I347" s="83"/>
      <c r="J347" s="84"/>
      <c r="K347" s="84"/>
      <c r="L347" s="84"/>
      <c r="M347" s="84"/>
      <c r="N347" s="84"/>
      <c r="O347" s="84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</row>
    <row r="348" spans="1:48" ht="15" customHeight="1" x14ac:dyDescent="0.25">
      <c r="A348" s="16"/>
      <c r="B348" s="16"/>
      <c r="C348" s="16"/>
      <c r="D348" s="82"/>
      <c r="E348" s="82"/>
      <c r="F348" s="83"/>
      <c r="G348" s="83"/>
      <c r="H348" s="83"/>
      <c r="I348" s="83"/>
      <c r="J348" s="84"/>
      <c r="K348" s="84"/>
      <c r="L348" s="84"/>
      <c r="M348" s="84"/>
      <c r="N348" s="84"/>
      <c r="O348" s="84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</row>
    <row r="349" spans="1:48" ht="15" customHeight="1" x14ac:dyDescent="0.25">
      <c r="A349" s="16"/>
      <c r="B349" s="16"/>
      <c r="C349" s="16"/>
      <c r="D349" s="82"/>
      <c r="E349" s="82"/>
      <c r="F349" s="83"/>
      <c r="G349" s="83"/>
      <c r="H349" s="83"/>
      <c r="I349" s="83"/>
      <c r="J349" s="84"/>
      <c r="K349" s="84"/>
      <c r="L349" s="84"/>
      <c r="M349" s="84"/>
      <c r="N349" s="84"/>
      <c r="O349" s="84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</row>
    <row r="350" spans="1:48" ht="15" customHeight="1" x14ac:dyDescent="0.25">
      <c r="A350" s="16"/>
      <c r="B350" s="16"/>
      <c r="C350" s="16"/>
      <c r="D350" s="82"/>
      <c r="E350" s="82"/>
      <c r="F350" s="83"/>
      <c r="G350" s="83"/>
      <c r="H350" s="83"/>
      <c r="I350" s="83"/>
      <c r="J350" s="84"/>
      <c r="K350" s="84"/>
      <c r="L350" s="84"/>
      <c r="M350" s="84"/>
      <c r="N350" s="84"/>
      <c r="O350" s="84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</row>
    <row r="351" spans="1:48" ht="15" customHeight="1" x14ac:dyDescent="0.25">
      <c r="A351" s="16"/>
      <c r="B351" s="16"/>
      <c r="C351" s="16"/>
      <c r="D351" s="82"/>
      <c r="E351" s="82"/>
      <c r="F351" s="83"/>
      <c r="G351" s="83"/>
      <c r="H351" s="83"/>
      <c r="I351" s="83"/>
      <c r="J351" s="84"/>
      <c r="K351" s="84"/>
      <c r="L351" s="84"/>
      <c r="M351" s="84"/>
      <c r="N351" s="84"/>
      <c r="O351" s="84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</row>
    <row r="352" spans="1:48" ht="15" customHeight="1" x14ac:dyDescent="0.25">
      <c r="A352" s="16"/>
      <c r="B352" s="16"/>
      <c r="C352" s="16"/>
      <c r="D352" s="82"/>
      <c r="E352" s="82"/>
      <c r="F352" s="83"/>
      <c r="G352" s="83"/>
      <c r="H352" s="83"/>
      <c r="I352" s="83"/>
      <c r="J352" s="84"/>
      <c r="K352" s="84"/>
      <c r="L352" s="84"/>
      <c r="M352" s="84"/>
      <c r="N352" s="84"/>
      <c r="O352" s="84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</row>
    <row r="353" spans="1:48" ht="15" customHeight="1" x14ac:dyDescent="0.25">
      <c r="A353" s="16"/>
      <c r="B353" s="16"/>
      <c r="C353" s="16"/>
      <c r="D353" s="82"/>
      <c r="E353" s="82"/>
      <c r="F353" s="83"/>
      <c r="G353" s="83"/>
      <c r="H353" s="83"/>
      <c r="I353" s="83"/>
      <c r="J353" s="84"/>
      <c r="K353" s="84"/>
      <c r="L353" s="84"/>
      <c r="M353" s="84"/>
      <c r="N353" s="84"/>
      <c r="O353" s="84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</row>
    <row r="354" spans="1:48" ht="15" customHeight="1" x14ac:dyDescent="0.25">
      <c r="A354" s="16"/>
      <c r="B354" s="16"/>
      <c r="C354" s="16"/>
      <c r="D354" s="82"/>
      <c r="E354" s="82"/>
      <c r="F354" s="83"/>
      <c r="G354" s="83"/>
      <c r="H354" s="83"/>
      <c r="I354" s="83"/>
      <c r="J354" s="84"/>
      <c r="K354" s="84"/>
      <c r="L354" s="84"/>
      <c r="M354" s="84"/>
      <c r="N354" s="84"/>
      <c r="O354" s="84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</row>
    <row r="355" spans="1:48" ht="15" customHeight="1" x14ac:dyDescent="0.25">
      <c r="A355" s="16"/>
      <c r="B355" s="16"/>
      <c r="C355" s="16"/>
      <c r="D355" s="82"/>
      <c r="E355" s="82"/>
      <c r="F355" s="83"/>
      <c r="G355" s="83"/>
      <c r="H355" s="83"/>
      <c r="I355" s="83"/>
      <c r="J355" s="84"/>
      <c r="K355" s="84"/>
      <c r="L355" s="84"/>
      <c r="M355" s="84"/>
      <c r="N355" s="84"/>
      <c r="O355" s="84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</row>
    <row r="356" spans="1:48" ht="15" customHeight="1" x14ac:dyDescent="0.25">
      <c r="A356" s="16"/>
      <c r="B356" s="16"/>
      <c r="C356" s="16"/>
      <c r="D356" s="82"/>
      <c r="E356" s="82"/>
      <c r="F356" s="83"/>
      <c r="G356" s="83"/>
      <c r="H356" s="83"/>
      <c r="I356" s="83"/>
      <c r="J356" s="84"/>
      <c r="K356" s="84"/>
      <c r="L356" s="84"/>
      <c r="M356" s="84"/>
      <c r="N356" s="84"/>
      <c r="O356" s="84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</row>
    <row r="357" spans="1:48" ht="15" customHeight="1" x14ac:dyDescent="0.25">
      <c r="A357" s="16"/>
      <c r="B357" s="16"/>
      <c r="C357" s="16"/>
      <c r="D357" s="82"/>
      <c r="E357" s="82"/>
      <c r="F357" s="83"/>
      <c r="G357" s="83"/>
      <c r="H357" s="83"/>
      <c r="I357" s="83"/>
      <c r="J357" s="84"/>
      <c r="K357" s="84"/>
      <c r="L357" s="84"/>
      <c r="M357" s="84"/>
      <c r="N357" s="84"/>
      <c r="O357" s="84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</row>
    <row r="358" spans="1:48" ht="15" customHeight="1" x14ac:dyDescent="0.25">
      <c r="A358" s="16"/>
      <c r="B358" s="16"/>
      <c r="C358" s="16"/>
      <c r="D358" s="82"/>
      <c r="E358" s="82"/>
      <c r="F358" s="83"/>
      <c r="G358" s="83"/>
      <c r="H358" s="83"/>
      <c r="I358" s="83"/>
      <c r="J358" s="84"/>
      <c r="K358" s="84"/>
      <c r="L358" s="84"/>
      <c r="M358" s="84"/>
      <c r="N358" s="84"/>
      <c r="O358" s="84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</row>
    <row r="359" spans="1:48" ht="15" customHeight="1" x14ac:dyDescent="0.25">
      <c r="A359" s="16"/>
      <c r="B359" s="16"/>
      <c r="C359" s="16"/>
      <c r="D359" s="82"/>
      <c r="E359" s="82"/>
      <c r="F359" s="83"/>
      <c r="G359" s="83"/>
      <c r="H359" s="83"/>
      <c r="I359" s="83"/>
      <c r="J359" s="84"/>
      <c r="K359" s="84"/>
      <c r="L359" s="84"/>
      <c r="M359" s="84"/>
      <c r="N359" s="84"/>
      <c r="O359" s="84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</row>
    <row r="360" spans="1:48" ht="15" customHeight="1" x14ac:dyDescent="0.25">
      <c r="A360" s="16"/>
      <c r="B360" s="16"/>
      <c r="C360" s="16"/>
      <c r="D360" s="82"/>
      <c r="E360" s="82"/>
      <c r="F360" s="83"/>
      <c r="G360" s="83"/>
      <c r="H360" s="83"/>
      <c r="I360" s="83"/>
      <c r="J360" s="84"/>
      <c r="K360" s="84"/>
      <c r="L360" s="84"/>
      <c r="M360" s="84"/>
      <c r="N360" s="84"/>
      <c r="O360" s="84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</row>
    <row r="361" spans="1:48" ht="15" customHeight="1" x14ac:dyDescent="0.25">
      <c r="A361" s="16"/>
      <c r="B361" s="16"/>
      <c r="C361" s="16"/>
      <c r="D361" s="82"/>
      <c r="E361" s="82"/>
      <c r="F361" s="83"/>
      <c r="G361" s="83"/>
      <c r="H361" s="83"/>
      <c r="I361" s="83"/>
      <c r="J361" s="84"/>
      <c r="K361" s="84"/>
      <c r="L361" s="84"/>
      <c r="M361" s="84"/>
      <c r="N361" s="84"/>
      <c r="O361" s="84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</row>
    <row r="362" spans="1:48" ht="15" customHeight="1" x14ac:dyDescent="0.25">
      <c r="A362" s="16"/>
      <c r="B362" s="16"/>
      <c r="C362" s="16"/>
      <c r="D362" s="82"/>
      <c r="E362" s="82"/>
      <c r="F362" s="83"/>
      <c r="G362" s="83"/>
      <c r="H362" s="83"/>
      <c r="I362" s="83"/>
      <c r="J362" s="84"/>
      <c r="K362" s="84"/>
      <c r="L362" s="84"/>
      <c r="M362" s="84"/>
      <c r="N362" s="84"/>
      <c r="O362" s="84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</row>
    <row r="363" spans="1:48" ht="15" customHeight="1" x14ac:dyDescent="0.25">
      <c r="A363" s="16"/>
      <c r="B363" s="16"/>
      <c r="C363" s="16"/>
      <c r="D363" s="82"/>
      <c r="E363" s="82"/>
      <c r="F363" s="83"/>
      <c r="G363" s="83"/>
      <c r="H363" s="83"/>
      <c r="I363" s="83"/>
      <c r="J363" s="84"/>
      <c r="K363" s="84"/>
      <c r="L363" s="84"/>
      <c r="M363" s="84"/>
      <c r="N363" s="84"/>
      <c r="O363" s="84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</row>
    <row r="364" spans="1:48" ht="15" customHeight="1" x14ac:dyDescent="0.25">
      <c r="A364" s="16"/>
      <c r="B364" s="16"/>
      <c r="C364" s="16"/>
      <c r="D364" s="82"/>
      <c r="E364" s="82"/>
      <c r="F364" s="83"/>
      <c r="G364" s="83"/>
      <c r="H364" s="83"/>
      <c r="I364" s="83"/>
      <c r="J364" s="84"/>
      <c r="K364" s="84"/>
      <c r="L364" s="84"/>
      <c r="M364" s="84"/>
      <c r="N364" s="84"/>
      <c r="O364" s="84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</row>
    <row r="365" spans="1:48" ht="15" customHeight="1" x14ac:dyDescent="0.25">
      <c r="A365" s="16"/>
      <c r="B365" s="16"/>
      <c r="C365" s="16"/>
      <c r="D365" s="82"/>
      <c r="E365" s="82"/>
      <c r="F365" s="83"/>
      <c r="G365" s="83"/>
      <c r="H365" s="83"/>
      <c r="I365" s="83"/>
      <c r="J365" s="84"/>
      <c r="K365" s="84"/>
      <c r="L365" s="84"/>
      <c r="M365" s="84"/>
      <c r="N365" s="84"/>
      <c r="O365" s="84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</row>
    <row r="366" spans="1:48" ht="15" customHeight="1" x14ac:dyDescent="0.25">
      <c r="A366" s="16"/>
      <c r="B366" s="16"/>
      <c r="C366" s="16"/>
      <c r="D366" s="82"/>
      <c r="E366" s="82"/>
      <c r="F366" s="83"/>
      <c r="G366" s="83"/>
      <c r="H366" s="83"/>
      <c r="I366" s="83"/>
      <c r="J366" s="84"/>
      <c r="K366" s="84"/>
      <c r="L366" s="84"/>
      <c r="M366" s="84"/>
      <c r="N366" s="84"/>
      <c r="O366" s="84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</row>
    <row r="367" spans="1:48" ht="15" customHeight="1" x14ac:dyDescent="0.25">
      <c r="A367" s="16"/>
      <c r="B367" s="16"/>
      <c r="C367" s="16"/>
      <c r="D367" s="82"/>
      <c r="E367" s="82"/>
      <c r="F367" s="83"/>
      <c r="G367" s="83"/>
      <c r="H367" s="83"/>
      <c r="I367" s="83"/>
      <c r="J367" s="84"/>
      <c r="K367" s="84"/>
      <c r="L367" s="84"/>
      <c r="M367" s="84"/>
      <c r="N367" s="84"/>
      <c r="O367" s="84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</row>
    <row r="368" spans="1:48" ht="15" customHeight="1" x14ac:dyDescent="0.25">
      <c r="A368" s="16"/>
      <c r="B368" s="16"/>
      <c r="C368" s="16"/>
      <c r="D368" s="82"/>
      <c r="E368" s="82"/>
      <c r="F368" s="83"/>
      <c r="G368" s="83"/>
      <c r="H368" s="83"/>
      <c r="I368" s="83"/>
      <c r="J368" s="84"/>
      <c r="K368" s="84"/>
      <c r="L368" s="84"/>
      <c r="M368" s="84"/>
      <c r="N368" s="84"/>
      <c r="O368" s="84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</row>
    <row r="369" spans="1:48" ht="15" customHeight="1" x14ac:dyDescent="0.25">
      <c r="A369" s="16"/>
      <c r="B369" s="16"/>
      <c r="C369" s="16"/>
      <c r="D369" s="82"/>
      <c r="E369" s="82"/>
      <c r="F369" s="83"/>
      <c r="G369" s="83"/>
      <c r="H369" s="83"/>
      <c r="I369" s="83"/>
      <c r="J369" s="84"/>
      <c r="K369" s="84"/>
      <c r="L369" s="84"/>
      <c r="M369" s="84"/>
      <c r="N369" s="84"/>
      <c r="O369" s="84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</row>
    <row r="370" spans="1:48" ht="15" customHeight="1" x14ac:dyDescent="0.25">
      <c r="A370" s="16"/>
      <c r="B370" s="16"/>
      <c r="C370" s="16"/>
      <c r="D370" s="82"/>
      <c r="E370" s="82"/>
      <c r="F370" s="83"/>
      <c r="G370" s="83"/>
      <c r="H370" s="83"/>
      <c r="I370" s="83"/>
      <c r="J370" s="84"/>
      <c r="K370" s="84"/>
      <c r="L370" s="84"/>
      <c r="M370" s="84"/>
      <c r="N370" s="84"/>
      <c r="O370" s="84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</row>
    <row r="371" spans="1:48" ht="15" customHeight="1" x14ac:dyDescent="0.25">
      <c r="A371" s="16"/>
      <c r="B371" s="16"/>
      <c r="C371" s="16"/>
      <c r="D371" s="82"/>
      <c r="E371" s="82"/>
      <c r="F371" s="83"/>
      <c r="G371" s="83"/>
      <c r="H371" s="83"/>
      <c r="I371" s="83"/>
      <c r="J371" s="84"/>
      <c r="K371" s="84"/>
      <c r="L371" s="84"/>
      <c r="M371" s="84"/>
      <c r="N371" s="84"/>
      <c r="O371" s="84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</row>
    <row r="372" spans="1:48" ht="15" customHeight="1" x14ac:dyDescent="0.25">
      <c r="A372" s="16"/>
      <c r="B372" s="16"/>
      <c r="C372" s="16"/>
      <c r="D372" s="82"/>
      <c r="E372" s="82"/>
      <c r="F372" s="83"/>
      <c r="G372" s="83"/>
      <c r="H372" s="83"/>
      <c r="I372" s="83"/>
      <c r="J372" s="84"/>
      <c r="K372" s="84"/>
      <c r="L372" s="84"/>
      <c r="M372" s="84"/>
      <c r="N372" s="84"/>
      <c r="O372" s="84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</row>
    <row r="373" spans="1:48" ht="15" customHeight="1" x14ac:dyDescent="0.25">
      <c r="A373" s="16"/>
      <c r="B373" s="16"/>
      <c r="C373" s="16"/>
      <c r="D373" s="82"/>
      <c r="E373" s="82"/>
      <c r="F373" s="83"/>
      <c r="G373" s="83"/>
      <c r="H373" s="83"/>
      <c r="I373" s="83"/>
      <c r="J373" s="84"/>
      <c r="K373" s="84"/>
      <c r="L373" s="84"/>
      <c r="M373" s="84"/>
      <c r="N373" s="84"/>
      <c r="O373" s="84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</row>
    <row r="374" spans="1:48" ht="15" customHeight="1" x14ac:dyDescent="0.25">
      <c r="A374" s="16"/>
      <c r="B374" s="16"/>
      <c r="C374" s="16"/>
      <c r="D374" s="82"/>
      <c r="E374" s="82"/>
      <c r="F374" s="83"/>
      <c r="G374" s="83"/>
      <c r="H374" s="83"/>
      <c r="I374" s="83"/>
      <c r="J374" s="84"/>
      <c r="K374" s="84"/>
      <c r="L374" s="84"/>
      <c r="M374" s="84"/>
      <c r="N374" s="84"/>
      <c r="O374" s="84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</row>
    <row r="375" spans="1:48" ht="15" customHeight="1" x14ac:dyDescent="0.25">
      <c r="A375" s="16"/>
      <c r="B375" s="16"/>
      <c r="C375" s="16"/>
      <c r="D375" s="82"/>
      <c r="E375" s="82"/>
      <c r="F375" s="83"/>
      <c r="G375" s="83"/>
      <c r="H375" s="83"/>
      <c r="I375" s="83"/>
      <c r="J375" s="84"/>
      <c r="K375" s="84"/>
      <c r="L375" s="84"/>
      <c r="M375" s="84"/>
      <c r="N375" s="84"/>
      <c r="O375" s="84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</row>
    <row r="376" spans="1:48" ht="15" customHeight="1" x14ac:dyDescent="0.25">
      <c r="A376" s="16"/>
      <c r="B376" s="16"/>
      <c r="C376" s="16"/>
      <c r="D376" s="82"/>
      <c r="E376" s="82"/>
      <c r="F376" s="83"/>
      <c r="G376" s="83"/>
      <c r="H376" s="83"/>
      <c r="I376" s="83"/>
      <c r="J376" s="84"/>
      <c r="K376" s="84"/>
      <c r="L376" s="84"/>
      <c r="M376" s="84"/>
      <c r="N376" s="84"/>
      <c r="O376" s="84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</row>
    <row r="377" spans="1:48" ht="15" customHeight="1" x14ac:dyDescent="0.25">
      <c r="A377" s="16"/>
      <c r="B377" s="16"/>
      <c r="C377" s="16"/>
      <c r="D377" s="82"/>
      <c r="E377" s="82"/>
      <c r="F377" s="83"/>
      <c r="G377" s="83"/>
      <c r="H377" s="83"/>
      <c r="I377" s="83"/>
      <c r="J377" s="84"/>
      <c r="K377" s="84"/>
      <c r="L377" s="84"/>
      <c r="M377" s="84"/>
      <c r="N377" s="84"/>
      <c r="O377" s="84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</row>
    <row r="378" spans="1:48" ht="15" customHeight="1" x14ac:dyDescent="0.25">
      <c r="A378" s="16"/>
      <c r="B378" s="16"/>
      <c r="C378" s="16"/>
      <c r="D378" s="82"/>
      <c r="E378" s="82"/>
      <c r="F378" s="83"/>
      <c r="G378" s="83"/>
      <c r="H378" s="83"/>
      <c r="I378" s="83"/>
      <c r="J378" s="84"/>
      <c r="K378" s="84"/>
      <c r="L378" s="84"/>
      <c r="M378" s="84"/>
      <c r="N378" s="84"/>
      <c r="O378" s="84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</row>
    <row r="379" spans="1:48" ht="15" customHeight="1" x14ac:dyDescent="0.25">
      <c r="A379" s="16"/>
      <c r="B379" s="16"/>
      <c r="C379" s="16"/>
      <c r="D379" s="82"/>
      <c r="E379" s="82"/>
      <c r="F379" s="83"/>
      <c r="G379" s="83"/>
      <c r="H379" s="83"/>
      <c r="I379" s="83"/>
      <c r="J379" s="84"/>
      <c r="K379" s="84"/>
      <c r="L379" s="84"/>
      <c r="M379" s="84"/>
      <c r="N379" s="84"/>
      <c r="O379" s="84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</row>
    <row r="380" spans="1:48" ht="15" customHeight="1" x14ac:dyDescent="0.25">
      <c r="A380" s="16"/>
      <c r="B380" s="16"/>
      <c r="C380" s="16"/>
      <c r="D380" s="82"/>
      <c r="E380" s="82"/>
      <c r="F380" s="83"/>
      <c r="G380" s="83"/>
      <c r="H380" s="83"/>
      <c r="I380" s="83"/>
      <c r="J380" s="84"/>
      <c r="K380" s="84"/>
      <c r="L380" s="84"/>
      <c r="M380" s="84"/>
      <c r="N380" s="84"/>
      <c r="O380" s="84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</row>
    <row r="381" spans="1:48" ht="15" customHeight="1" x14ac:dyDescent="0.25">
      <c r="A381" s="16"/>
      <c r="B381" s="16"/>
      <c r="C381" s="16"/>
      <c r="D381" s="82"/>
      <c r="E381" s="82"/>
      <c r="F381" s="83"/>
      <c r="G381" s="83"/>
      <c r="H381" s="83"/>
      <c r="I381" s="83"/>
      <c r="J381" s="84"/>
      <c r="K381" s="84"/>
      <c r="L381" s="84"/>
      <c r="M381" s="84"/>
      <c r="N381" s="84"/>
      <c r="O381" s="84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</row>
    <row r="382" spans="1:48" ht="15" customHeight="1" x14ac:dyDescent="0.25">
      <c r="A382" s="16"/>
      <c r="B382" s="16"/>
      <c r="C382" s="16"/>
      <c r="D382" s="82"/>
      <c r="E382" s="82"/>
      <c r="F382" s="83"/>
      <c r="G382" s="83"/>
      <c r="H382" s="83"/>
      <c r="I382" s="83"/>
      <c r="J382" s="84"/>
      <c r="K382" s="84"/>
      <c r="L382" s="84"/>
      <c r="M382" s="84"/>
      <c r="N382" s="84"/>
      <c r="O382" s="84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</row>
    <row r="383" spans="1:48" ht="15" customHeight="1" x14ac:dyDescent="0.25">
      <c r="A383" s="16"/>
      <c r="B383" s="16"/>
      <c r="C383" s="16"/>
      <c r="D383" s="82"/>
      <c r="E383" s="82"/>
      <c r="F383" s="83"/>
      <c r="G383" s="83"/>
      <c r="H383" s="83"/>
      <c r="I383" s="83"/>
      <c r="J383" s="84"/>
      <c r="K383" s="84"/>
      <c r="L383" s="84"/>
      <c r="M383" s="84"/>
      <c r="N383" s="84"/>
      <c r="O383" s="84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</row>
    <row r="384" spans="1:48" ht="15" customHeight="1" x14ac:dyDescent="0.25">
      <c r="A384" s="16"/>
      <c r="B384" s="16"/>
      <c r="C384" s="16"/>
      <c r="D384" s="82"/>
      <c r="E384" s="82"/>
      <c r="F384" s="83"/>
      <c r="G384" s="83"/>
      <c r="H384" s="83"/>
      <c r="I384" s="83"/>
      <c r="J384" s="84"/>
      <c r="K384" s="84"/>
      <c r="L384" s="84"/>
      <c r="M384" s="84"/>
      <c r="N384" s="84"/>
      <c r="O384" s="84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</row>
    <row r="385" spans="1:48" ht="15" customHeight="1" x14ac:dyDescent="0.25">
      <c r="A385" s="16"/>
      <c r="B385" s="16"/>
      <c r="C385" s="16"/>
      <c r="D385" s="82"/>
      <c r="E385" s="82"/>
      <c r="F385" s="83"/>
      <c r="G385" s="83"/>
      <c r="H385" s="83"/>
      <c r="I385" s="83"/>
      <c r="J385" s="84"/>
      <c r="K385" s="84"/>
      <c r="L385" s="84"/>
      <c r="M385" s="84"/>
      <c r="N385" s="84"/>
      <c r="O385" s="84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</row>
    <row r="386" spans="1:48" ht="15" customHeight="1" x14ac:dyDescent="0.25">
      <c r="A386" s="16"/>
      <c r="B386" s="16"/>
      <c r="C386" s="16"/>
      <c r="D386" s="82"/>
      <c r="E386" s="82"/>
      <c r="F386" s="83"/>
      <c r="G386" s="83"/>
      <c r="H386" s="83"/>
      <c r="I386" s="83"/>
      <c r="J386" s="84"/>
      <c r="K386" s="84"/>
      <c r="L386" s="84"/>
      <c r="M386" s="84"/>
      <c r="N386" s="84"/>
      <c r="O386" s="84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</row>
    <row r="387" spans="1:48" ht="15" customHeight="1" x14ac:dyDescent="0.25">
      <c r="A387" s="16"/>
      <c r="B387" s="16"/>
      <c r="C387" s="16"/>
      <c r="D387" s="82"/>
      <c r="E387" s="82"/>
      <c r="F387" s="83"/>
      <c r="G387" s="83"/>
      <c r="H387" s="83"/>
      <c r="I387" s="83"/>
      <c r="J387" s="84"/>
      <c r="K387" s="84"/>
      <c r="L387" s="84"/>
      <c r="M387" s="84"/>
      <c r="N387" s="84"/>
      <c r="O387" s="84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</row>
    <row r="388" spans="1:48" ht="15" customHeight="1" x14ac:dyDescent="0.25">
      <c r="A388" s="16"/>
      <c r="B388" s="16"/>
      <c r="C388" s="16"/>
      <c r="D388" s="82"/>
      <c r="E388" s="82"/>
      <c r="F388" s="83"/>
      <c r="G388" s="83"/>
      <c r="H388" s="83"/>
      <c r="I388" s="83"/>
      <c r="J388" s="84"/>
      <c r="K388" s="84"/>
      <c r="L388" s="84"/>
      <c r="M388" s="84"/>
      <c r="N388" s="84"/>
      <c r="O388" s="84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</row>
    <row r="389" spans="1:48" ht="15" customHeight="1" x14ac:dyDescent="0.25">
      <c r="A389" s="16"/>
      <c r="B389" s="16"/>
      <c r="C389" s="16"/>
      <c r="D389" s="82"/>
      <c r="E389" s="82"/>
      <c r="F389" s="83"/>
      <c r="G389" s="83"/>
      <c r="H389" s="83"/>
      <c r="I389" s="83"/>
      <c r="J389" s="84"/>
      <c r="K389" s="84"/>
      <c r="L389" s="84"/>
      <c r="M389" s="84"/>
      <c r="N389" s="84"/>
      <c r="O389" s="84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</row>
    <row r="390" spans="1:48" ht="15" customHeight="1" x14ac:dyDescent="0.25">
      <c r="A390" s="16"/>
      <c r="B390" s="16"/>
      <c r="C390" s="16"/>
      <c r="D390" s="82"/>
      <c r="E390" s="82"/>
      <c r="F390" s="83"/>
      <c r="G390" s="83"/>
      <c r="H390" s="83"/>
      <c r="I390" s="83"/>
      <c r="J390" s="84"/>
      <c r="K390" s="84"/>
      <c r="L390" s="84"/>
      <c r="M390" s="84"/>
      <c r="N390" s="84"/>
      <c r="O390" s="84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</row>
    <row r="391" spans="1:48" ht="15" customHeight="1" x14ac:dyDescent="0.25">
      <c r="A391" s="16"/>
      <c r="B391" s="16"/>
      <c r="C391" s="16"/>
      <c r="D391" s="82"/>
      <c r="E391" s="82"/>
      <c r="F391" s="83"/>
      <c r="G391" s="83"/>
      <c r="H391" s="83"/>
      <c r="I391" s="83"/>
      <c r="J391" s="84"/>
      <c r="K391" s="84"/>
      <c r="L391" s="84"/>
      <c r="M391" s="84"/>
      <c r="N391" s="84"/>
      <c r="O391" s="84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</row>
    <row r="392" spans="1:48" ht="15" customHeight="1" x14ac:dyDescent="0.25">
      <c r="A392" s="16"/>
      <c r="B392" s="16"/>
      <c r="C392" s="16"/>
      <c r="D392" s="82"/>
      <c r="E392" s="82"/>
      <c r="F392" s="83"/>
      <c r="G392" s="83"/>
      <c r="H392" s="83"/>
      <c r="I392" s="83"/>
      <c r="J392" s="84"/>
      <c r="K392" s="84"/>
      <c r="L392" s="84"/>
      <c r="M392" s="84"/>
      <c r="N392" s="84"/>
      <c r="O392" s="84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</row>
    <row r="393" spans="1:48" ht="15" customHeight="1" x14ac:dyDescent="0.25">
      <c r="A393" s="16"/>
      <c r="B393" s="16"/>
      <c r="C393" s="16"/>
      <c r="D393" s="82"/>
      <c r="E393" s="82"/>
      <c r="F393" s="83"/>
      <c r="G393" s="83"/>
      <c r="H393" s="83"/>
      <c r="I393" s="83"/>
      <c r="J393" s="84"/>
      <c r="K393" s="84"/>
      <c r="L393" s="84"/>
      <c r="M393" s="84"/>
      <c r="N393" s="84"/>
      <c r="O393" s="84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</row>
    <row r="394" spans="1:48" ht="15" customHeight="1" x14ac:dyDescent="0.25">
      <c r="A394" s="16"/>
      <c r="B394" s="16"/>
      <c r="C394" s="16"/>
      <c r="D394" s="82"/>
      <c r="E394" s="82"/>
      <c r="F394" s="83"/>
      <c r="G394" s="83"/>
      <c r="H394" s="83"/>
      <c r="I394" s="83"/>
      <c r="J394" s="84"/>
      <c r="K394" s="84"/>
      <c r="L394" s="84"/>
      <c r="M394" s="84"/>
      <c r="N394" s="84"/>
      <c r="O394" s="84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</row>
    <row r="395" spans="1:48" ht="15" customHeight="1" x14ac:dyDescent="0.25">
      <c r="A395" s="16"/>
      <c r="B395" s="16"/>
      <c r="C395" s="16"/>
      <c r="D395" s="82"/>
      <c r="E395" s="82"/>
      <c r="F395" s="83"/>
      <c r="G395" s="83"/>
      <c r="H395" s="83"/>
      <c r="I395" s="83"/>
      <c r="J395" s="84"/>
      <c r="K395" s="84"/>
      <c r="L395" s="84"/>
      <c r="M395" s="84"/>
      <c r="N395" s="84"/>
      <c r="O395" s="84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</row>
    <row r="396" spans="1:48" ht="15" customHeight="1" x14ac:dyDescent="0.25">
      <c r="A396" s="16"/>
      <c r="B396" s="16"/>
      <c r="C396" s="16"/>
      <c r="D396" s="82"/>
      <c r="E396" s="82"/>
      <c r="F396" s="83"/>
      <c r="G396" s="83"/>
      <c r="H396" s="83"/>
      <c r="I396" s="83"/>
      <c r="J396" s="84"/>
      <c r="K396" s="84"/>
      <c r="L396" s="84"/>
      <c r="M396" s="84"/>
      <c r="N396" s="84"/>
      <c r="O396" s="84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</row>
    <row r="397" spans="1:48" ht="15" customHeight="1" x14ac:dyDescent="0.25">
      <c r="A397" s="16"/>
      <c r="B397" s="16"/>
      <c r="C397" s="16"/>
      <c r="D397" s="82"/>
      <c r="E397" s="82"/>
      <c r="F397" s="83"/>
      <c r="G397" s="83"/>
      <c r="H397" s="83"/>
      <c r="I397" s="83"/>
      <c r="J397" s="84"/>
      <c r="K397" s="84"/>
      <c r="L397" s="84"/>
      <c r="M397" s="84"/>
      <c r="N397" s="84"/>
      <c r="O397" s="84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</row>
    <row r="398" spans="1:48" ht="15" customHeight="1" x14ac:dyDescent="0.25">
      <c r="A398" s="16"/>
      <c r="B398" s="16"/>
      <c r="C398" s="16"/>
      <c r="D398" s="82"/>
      <c r="E398" s="82"/>
      <c r="F398" s="83"/>
      <c r="G398" s="83"/>
      <c r="H398" s="83"/>
      <c r="I398" s="83"/>
      <c r="J398" s="84"/>
      <c r="K398" s="84"/>
      <c r="L398" s="84"/>
      <c r="M398" s="84"/>
      <c r="N398" s="84"/>
      <c r="O398" s="84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</row>
    <row r="399" spans="1:48" ht="15" customHeight="1" x14ac:dyDescent="0.25">
      <c r="A399" s="16"/>
      <c r="B399" s="16"/>
      <c r="C399" s="16"/>
      <c r="D399" s="82"/>
      <c r="E399" s="82"/>
      <c r="F399" s="83"/>
      <c r="G399" s="83"/>
      <c r="H399" s="83"/>
      <c r="I399" s="83"/>
      <c r="J399" s="84"/>
      <c r="K399" s="84"/>
      <c r="L399" s="84"/>
      <c r="M399" s="84"/>
      <c r="N399" s="84"/>
      <c r="O399" s="84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</row>
    <row r="400" spans="1:48" ht="15" customHeight="1" x14ac:dyDescent="0.25">
      <c r="A400" s="16"/>
      <c r="B400" s="16"/>
      <c r="C400" s="16"/>
      <c r="D400" s="82"/>
      <c r="E400" s="82"/>
      <c r="F400" s="83"/>
      <c r="G400" s="83"/>
      <c r="H400" s="83"/>
      <c r="I400" s="83"/>
      <c r="J400" s="84"/>
      <c r="K400" s="84"/>
      <c r="L400" s="84"/>
      <c r="M400" s="84"/>
      <c r="N400" s="84"/>
      <c r="O400" s="84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</row>
    <row r="401" spans="1:48" ht="15" customHeight="1" x14ac:dyDescent="0.25">
      <c r="A401" s="16"/>
      <c r="B401" s="16"/>
      <c r="C401" s="16"/>
      <c r="D401" s="82"/>
      <c r="E401" s="82"/>
      <c r="F401" s="83"/>
      <c r="G401" s="83"/>
      <c r="H401" s="83"/>
      <c r="I401" s="83"/>
      <c r="J401" s="84"/>
      <c r="K401" s="84"/>
      <c r="L401" s="84"/>
      <c r="M401" s="84"/>
      <c r="N401" s="84"/>
      <c r="O401" s="84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</row>
    <row r="402" spans="1:48" ht="15" customHeight="1" x14ac:dyDescent="0.25">
      <c r="A402" s="16"/>
      <c r="B402" s="16"/>
      <c r="C402" s="16"/>
      <c r="D402" s="82"/>
      <c r="E402" s="82"/>
      <c r="F402" s="83"/>
      <c r="G402" s="83"/>
      <c r="H402" s="83"/>
      <c r="I402" s="83"/>
      <c r="J402" s="84"/>
      <c r="K402" s="84"/>
      <c r="L402" s="84"/>
      <c r="M402" s="84"/>
      <c r="N402" s="84"/>
      <c r="O402" s="84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</row>
    <row r="403" spans="1:48" ht="15" customHeight="1" x14ac:dyDescent="0.25">
      <c r="A403" s="16"/>
      <c r="B403" s="16"/>
      <c r="C403" s="16"/>
      <c r="D403" s="82"/>
      <c r="E403" s="82"/>
      <c r="F403" s="83"/>
      <c r="G403" s="83"/>
      <c r="H403" s="83"/>
      <c r="I403" s="83"/>
      <c r="J403" s="84"/>
      <c r="K403" s="84"/>
      <c r="L403" s="84"/>
      <c r="M403" s="84"/>
      <c r="N403" s="84"/>
      <c r="O403" s="84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</row>
  </sheetData>
  <mergeCells count="23">
    <mergeCell ref="B53:D53"/>
    <mergeCell ref="B55:C55"/>
    <mergeCell ref="B56:Q56"/>
    <mergeCell ref="B44:Q44"/>
    <mergeCell ref="B45:AC45"/>
    <mergeCell ref="B48:D48"/>
    <mergeCell ref="B49:Q49"/>
    <mergeCell ref="B50:AC50"/>
    <mergeCell ref="B21:AC21"/>
    <mergeCell ref="B36:D36"/>
    <mergeCell ref="B37:Q37"/>
    <mergeCell ref="B38:AC38"/>
    <mergeCell ref="B43:D43"/>
    <mergeCell ref="B15:AC15"/>
    <mergeCell ref="B17:D17"/>
    <mergeCell ref="B18:D18"/>
    <mergeCell ref="B19:D19"/>
    <mergeCell ref="B20:Q20"/>
    <mergeCell ref="B1:Q1"/>
    <mergeCell ref="B2:AC2"/>
    <mergeCell ref="B3:Q3"/>
    <mergeCell ref="B5:Q5"/>
    <mergeCell ref="B6:AC6"/>
  </mergeCells>
  <conditionalFormatting sqref="I7:I14 I16">
    <cfRule type="containsText" dxfId="19" priority="2" operator="containsText" text="Կրիտիկական">
      <formula>NOT(ISERROR(SEARCH("Կրիտիկական",I7)))</formula>
    </cfRule>
    <cfRule type="containsText" dxfId="18" priority="3" operator="containsText" text="Կարևոր">
      <formula>NOT(ISERROR(SEARCH("Կարևոր",I7)))</formula>
    </cfRule>
    <cfRule type="containsText" dxfId="17" priority="4" operator="containsText" text="Կարող է սպասել">
      <formula>NOT(ISERROR(SEARCH("Կարող է սպասել",I7)))</formula>
    </cfRule>
    <cfRule type="containsText" dxfId="16" priority="5" operator="containsText" text="Համալրված">
      <formula>NOT(ISERROR(SEARCH("Համալրված",I7)))</formula>
    </cfRule>
  </conditionalFormatting>
  <conditionalFormatting sqref="I22:I35">
    <cfRule type="containsText" dxfId="15" priority="6" operator="containsText" text="Կրիտիկական">
      <formula>NOT(ISERROR(SEARCH("Կրիտիկական",I22)))</formula>
    </cfRule>
    <cfRule type="containsText" dxfId="14" priority="7" operator="containsText" text="Կարևոր">
      <formula>NOT(ISERROR(SEARCH("Կարևոր",I22)))</formula>
    </cfRule>
    <cfRule type="containsText" dxfId="13" priority="8" operator="containsText" text="Կարող է սպասել">
      <formula>NOT(ISERROR(SEARCH("Կարող է սպասել",I22)))</formula>
    </cfRule>
    <cfRule type="containsText" dxfId="12" priority="9" operator="containsText" text="Համալրված">
      <formula>NOT(ISERROR(SEARCH("Համալրված",I22)))</formula>
    </cfRule>
  </conditionalFormatting>
  <conditionalFormatting sqref="I39:I42">
    <cfRule type="containsText" dxfId="11" priority="10" operator="containsText" text="Կրիտիկական">
      <formula>NOT(ISERROR(SEARCH("Կրիտիկական",I39)))</formula>
    </cfRule>
    <cfRule type="containsText" dxfId="10" priority="11" operator="containsText" text="Կարևոր">
      <formula>NOT(ISERROR(SEARCH("Կարևոր",I39)))</formula>
    </cfRule>
    <cfRule type="containsText" dxfId="9" priority="12" operator="containsText" text="Կարող է սպասել">
      <formula>NOT(ISERROR(SEARCH("Կարող է սպասել",I39)))</formula>
    </cfRule>
    <cfRule type="containsText" dxfId="8" priority="13" operator="containsText" text="Համալրված">
      <formula>NOT(ISERROR(SEARCH("Համալրված",I39)))</formula>
    </cfRule>
  </conditionalFormatting>
  <conditionalFormatting sqref="I46:I47">
    <cfRule type="containsText" dxfId="7" priority="14" operator="containsText" text="Կրիտիկական">
      <formula>NOT(ISERROR(SEARCH("Կրիտիկական",I46)))</formula>
    </cfRule>
    <cfRule type="containsText" dxfId="6" priority="15" operator="containsText" text="Կարևոր">
      <formula>NOT(ISERROR(SEARCH("Կարևոր",I46)))</formula>
    </cfRule>
    <cfRule type="containsText" dxfId="5" priority="16" operator="containsText" text="Կարող է սպասել">
      <formula>NOT(ISERROR(SEARCH("Կարող է սպասել",I46)))</formula>
    </cfRule>
    <cfRule type="containsText" dxfId="4" priority="17" operator="containsText" text="Համալրված">
      <formula>NOT(ISERROR(SEARCH("Համալրված",I46)))</formula>
    </cfRule>
  </conditionalFormatting>
  <conditionalFormatting sqref="I51:I52">
    <cfRule type="containsText" dxfId="3" priority="18" operator="containsText" text="Կրիտիկական">
      <formula>NOT(ISERROR(SEARCH("Կրիտիկական",I51)))</formula>
    </cfRule>
    <cfRule type="containsText" dxfId="2" priority="19" operator="containsText" text="Կարևոր">
      <formula>NOT(ISERROR(SEARCH("Կարևոր",I51)))</formula>
    </cfRule>
    <cfRule type="containsText" dxfId="1" priority="20" operator="containsText" text="Կարող է սպասել">
      <formula>NOT(ISERROR(SEARCH("Կարող է սպասել",I51)))</formula>
    </cfRule>
    <cfRule type="containsText" dxfId="0" priority="21" operator="containsText" text="Համալրված">
      <formula>NOT(ISERROR(SEARCH("Համալրված",I51)))</formula>
    </cfRule>
  </conditionalFormatting>
  <dataValidations count="1">
    <dataValidation type="list" allowBlank="1" showInputMessage="1" showErrorMessage="1" sqref="I7:I14 I16 I22:I35 I39:I42 I46:I47 I51:I52" xr:uid="{00000000-0002-0000-0100-000000000000}">
      <formula1>"Կրիտիկական,Կարևոր,Կարող է սպասել,Համալրված"</formula1>
      <formula2>0</formula2>
    </dataValidation>
  </dataValidations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94"/>
  <sheetViews>
    <sheetView showGridLines="0" zoomScale="90" zoomScaleNormal="90" workbookViewId="0">
      <pane ySplit="2" topLeftCell="A65" activePane="bottomLeft" state="frozen"/>
      <selection pane="bottomLeft" activeCell="B87" sqref="B87"/>
    </sheetView>
  </sheetViews>
  <sheetFormatPr defaultColWidth="8.7109375" defaultRowHeight="15" x14ac:dyDescent="0.25"/>
  <cols>
    <col min="1" max="1" width="2.7109375" style="15" customWidth="1"/>
    <col min="2" max="2" width="66.7109375" style="15" customWidth="1"/>
    <col min="3" max="4" width="28.140625" style="15" customWidth="1"/>
    <col min="5" max="5" width="19" style="15" customWidth="1"/>
    <col min="6" max="6" width="30.7109375" style="15" customWidth="1"/>
    <col min="7" max="7" width="24.28515625" style="15" customWidth="1"/>
    <col min="8" max="8" width="30" style="15" customWidth="1"/>
    <col min="9" max="9" width="46.7109375" style="15" customWidth="1"/>
    <col min="10" max="10" width="30.7109375" style="15" customWidth="1"/>
  </cols>
  <sheetData>
    <row r="1" spans="1:28" ht="6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30" customHeight="1" x14ac:dyDescent="0.25">
      <c r="A2" s="16"/>
      <c r="B2" s="134" t="s">
        <v>159</v>
      </c>
      <c r="C2" s="134"/>
      <c r="D2" s="134"/>
      <c r="E2" s="134"/>
      <c r="F2" s="134"/>
      <c r="G2" s="134"/>
      <c r="H2" s="134"/>
      <c r="I2" s="134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ht="6" customHeight="1" x14ac:dyDescent="0.25">
      <c r="A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ht="34.5" customHeight="1" x14ac:dyDescent="0.25">
      <c r="A4" s="16"/>
      <c r="B4" s="85" t="s">
        <v>160</v>
      </c>
      <c r="C4" s="85"/>
      <c r="D4" s="85"/>
      <c r="F4" s="135" t="s">
        <v>161</v>
      </c>
      <c r="G4" s="135"/>
      <c r="H4" s="135"/>
      <c r="I4" s="135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ht="6" customHeight="1" x14ac:dyDescent="0.25">
      <c r="A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ht="39.75" customHeight="1" x14ac:dyDescent="0.25">
      <c r="A6" s="16"/>
      <c r="B6" s="17" t="s">
        <v>162</v>
      </c>
      <c r="C6" s="17" t="s">
        <v>163</v>
      </c>
      <c r="D6" s="17" t="s">
        <v>164</v>
      </c>
      <c r="F6" s="117" t="s">
        <v>165</v>
      </c>
      <c r="G6" s="117"/>
      <c r="H6" s="17" t="s">
        <v>166</v>
      </c>
      <c r="I6" s="17" t="s">
        <v>167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ht="30" customHeight="1" x14ac:dyDescent="0.25">
      <c r="A7" s="16"/>
      <c r="B7" s="86" t="s">
        <v>168</v>
      </c>
      <c r="C7" s="87">
        <v>0</v>
      </c>
      <c r="D7" s="87">
        <v>0</v>
      </c>
      <c r="F7" s="136" t="s">
        <v>169</v>
      </c>
      <c r="G7" s="136"/>
      <c r="H7" s="88">
        <v>10</v>
      </c>
      <c r="I7" s="89" t="s">
        <v>170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ht="30" customHeight="1" x14ac:dyDescent="0.25">
      <c r="A8" s="16"/>
      <c r="B8" s="86" t="s">
        <v>171</v>
      </c>
      <c r="C8" s="87">
        <v>0.8</v>
      </c>
      <c r="D8" s="87">
        <v>0.15</v>
      </c>
      <c r="F8" s="136" t="s">
        <v>172</v>
      </c>
      <c r="G8" s="136"/>
      <c r="H8" s="88">
        <v>8000</v>
      </c>
      <c r="I8" s="89" t="s">
        <v>173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ht="30" customHeight="1" x14ac:dyDescent="0.25">
      <c r="A9" s="16"/>
      <c r="B9" s="86" t="s">
        <v>174</v>
      </c>
      <c r="C9" s="87">
        <v>0.9</v>
      </c>
      <c r="D9" s="87">
        <v>0.25</v>
      </c>
      <c r="F9" s="136" t="s">
        <v>175</v>
      </c>
      <c r="G9" s="136"/>
      <c r="H9" s="87">
        <v>0.8</v>
      </c>
      <c r="I9" s="89" t="s">
        <v>176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ht="30" customHeight="1" x14ac:dyDescent="0.25">
      <c r="A10" s="16"/>
      <c r="B10" s="86" t="s">
        <v>177</v>
      </c>
      <c r="C10" s="87">
        <v>1</v>
      </c>
      <c r="D10" s="87">
        <v>0.35</v>
      </c>
      <c r="F10" s="136" t="s">
        <v>178</v>
      </c>
      <c r="G10" s="136"/>
      <c r="H10" s="87">
        <v>1</v>
      </c>
      <c r="I10" s="89" t="s">
        <v>179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ht="30" customHeight="1" x14ac:dyDescent="0.25">
      <c r="A11" s="16"/>
      <c r="B11" s="86" t="s">
        <v>180</v>
      </c>
      <c r="C11" s="87">
        <v>1.2</v>
      </c>
      <c r="D11" s="87">
        <v>0.5</v>
      </c>
      <c r="F11" s="136" t="s">
        <v>181</v>
      </c>
      <c r="G11" s="136"/>
      <c r="H11" s="88">
        <v>70000</v>
      </c>
      <c r="I11" s="89" t="s">
        <v>182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ht="6" customHeight="1" x14ac:dyDescent="0.25">
      <c r="A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ht="34.5" customHeight="1" x14ac:dyDescent="0.25">
      <c r="A13" s="16"/>
      <c r="B13" s="85" t="s">
        <v>183</v>
      </c>
      <c r="C13" s="85"/>
      <c r="D13" s="85"/>
      <c r="E13" s="85"/>
      <c r="F13" s="85"/>
      <c r="G13" s="85"/>
      <c r="H13" s="85"/>
      <c r="I13" s="85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ht="6" customHeight="1" x14ac:dyDescent="0.25">
      <c r="A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ht="39.75" customHeight="1" x14ac:dyDescent="0.25">
      <c r="A15" s="16"/>
      <c r="B15" s="17" t="s">
        <v>184</v>
      </c>
      <c r="C15" s="17" t="s">
        <v>185</v>
      </c>
      <c r="D15" s="17" t="s">
        <v>186</v>
      </c>
      <c r="E15" s="17" t="s">
        <v>187</v>
      </c>
      <c r="F15" s="17" t="s">
        <v>188</v>
      </c>
      <c r="G15" s="17" t="s">
        <v>189</v>
      </c>
      <c r="H15" s="17" t="s">
        <v>190</v>
      </c>
      <c r="I15" s="17" t="s">
        <v>167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30" customHeight="1" x14ac:dyDescent="0.25">
      <c r="A16" s="16"/>
      <c r="B16" s="90">
        <v>0</v>
      </c>
      <c r="C16" s="21">
        <f t="shared" ref="C16:C21" si="0">IF($H$7=0,0,$B16/$H$7)</f>
        <v>0</v>
      </c>
      <c r="D16" s="24" t="str">
        <f t="shared" ref="D16:D21" si="1">IF($C16&gt;=$H$9,"այո","ոչ")</f>
        <v>ոչ</v>
      </c>
      <c r="E16" s="20">
        <f t="shared" ref="E16:E21" si="2">IF($C16&gt;=$H$9,$H$11,0)</f>
        <v>0</v>
      </c>
      <c r="F16" s="20">
        <f t="shared" ref="F16:F21" si="3">$B16*$H$8*$H$10</f>
        <v>0</v>
      </c>
      <c r="G16" s="20">
        <f t="shared" ref="G16:G21" si="4">$E16+$F16</f>
        <v>0</v>
      </c>
      <c r="H16" s="20">
        <f t="shared" ref="H16:H21" si="5">$G16*$D$43</f>
        <v>0</v>
      </c>
      <c r="I16" s="89" t="s">
        <v>191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ht="30" customHeight="1" x14ac:dyDescent="0.25">
      <c r="A17" s="16"/>
      <c r="B17" s="90">
        <v>5</v>
      </c>
      <c r="C17" s="21">
        <f t="shared" si="0"/>
        <v>0.5</v>
      </c>
      <c r="D17" s="24" t="str">
        <f t="shared" si="1"/>
        <v>ոչ</v>
      </c>
      <c r="E17" s="20">
        <f t="shared" si="2"/>
        <v>0</v>
      </c>
      <c r="F17" s="20">
        <f t="shared" si="3"/>
        <v>40000</v>
      </c>
      <c r="G17" s="20">
        <f t="shared" si="4"/>
        <v>40000</v>
      </c>
      <c r="H17" s="20">
        <f t="shared" si="5"/>
        <v>240000</v>
      </c>
      <c r="I17" s="89" t="s">
        <v>192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ht="30" customHeight="1" x14ac:dyDescent="0.25">
      <c r="A18" s="16"/>
      <c r="B18" s="90">
        <v>8</v>
      </c>
      <c r="C18" s="21">
        <f t="shared" si="0"/>
        <v>0.8</v>
      </c>
      <c r="D18" s="24" t="str">
        <f t="shared" si="1"/>
        <v>այո</v>
      </c>
      <c r="E18" s="20">
        <f t="shared" si="2"/>
        <v>70000</v>
      </c>
      <c r="F18" s="20">
        <f t="shared" si="3"/>
        <v>64000</v>
      </c>
      <c r="G18" s="20">
        <f t="shared" si="4"/>
        <v>134000</v>
      </c>
      <c r="H18" s="20">
        <f t="shared" si="5"/>
        <v>804000</v>
      </c>
      <c r="I18" s="89" t="s">
        <v>193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ht="30" customHeight="1" x14ac:dyDescent="0.25">
      <c r="A19" s="16"/>
      <c r="B19" s="90">
        <v>10</v>
      </c>
      <c r="C19" s="21">
        <f t="shared" si="0"/>
        <v>1</v>
      </c>
      <c r="D19" s="24" t="str">
        <f t="shared" si="1"/>
        <v>այո</v>
      </c>
      <c r="E19" s="20">
        <f t="shared" si="2"/>
        <v>70000</v>
      </c>
      <c r="F19" s="20">
        <f t="shared" si="3"/>
        <v>80000</v>
      </c>
      <c r="G19" s="20">
        <f t="shared" si="4"/>
        <v>150000</v>
      </c>
      <c r="H19" s="20">
        <f t="shared" si="5"/>
        <v>900000</v>
      </c>
      <c r="I19" s="89" t="s">
        <v>194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ht="30" customHeight="1" x14ac:dyDescent="0.25">
      <c r="A20" s="16"/>
      <c r="B20" s="90">
        <v>12</v>
      </c>
      <c r="C20" s="21">
        <f t="shared" si="0"/>
        <v>1.2</v>
      </c>
      <c r="D20" s="24" t="str">
        <f t="shared" si="1"/>
        <v>այո</v>
      </c>
      <c r="E20" s="20">
        <f t="shared" si="2"/>
        <v>70000</v>
      </c>
      <c r="F20" s="20">
        <f t="shared" si="3"/>
        <v>96000</v>
      </c>
      <c r="G20" s="20">
        <f t="shared" si="4"/>
        <v>166000</v>
      </c>
      <c r="H20" s="20">
        <f t="shared" si="5"/>
        <v>996000</v>
      </c>
      <c r="I20" s="89" t="s">
        <v>195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ht="30" customHeight="1" x14ac:dyDescent="0.25">
      <c r="A21" s="16"/>
      <c r="B21" s="90">
        <v>15</v>
      </c>
      <c r="C21" s="21">
        <f t="shared" si="0"/>
        <v>1.5</v>
      </c>
      <c r="D21" s="24" t="str">
        <f t="shared" si="1"/>
        <v>այո</v>
      </c>
      <c r="E21" s="20">
        <f t="shared" si="2"/>
        <v>70000</v>
      </c>
      <c r="F21" s="20">
        <f t="shared" si="3"/>
        <v>120000</v>
      </c>
      <c r="G21" s="20">
        <f t="shared" si="4"/>
        <v>190000</v>
      </c>
      <c r="H21" s="20">
        <f t="shared" si="5"/>
        <v>1140000</v>
      </c>
      <c r="I21" s="89" t="s">
        <v>196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ht="6" customHeight="1" x14ac:dyDescent="0.25">
      <c r="A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 ht="34.5" customHeight="1" x14ac:dyDescent="0.25">
      <c r="A23" s="16"/>
      <c r="B23" s="85" t="s">
        <v>197</v>
      </c>
      <c r="C23" s="85"/>
      <c r="D23" s="85"/>
      <c r="E23" s="85"/>
      <c r="F23" s="85"/>
      <c r="G23" s="85"/>
      <c r="H23" s="85"/>
      <c r="I23" s="85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6" customHeight="1" x14ac:dyDescent="0.25">
      <c r="A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ht="39.75" customHeight="1" x14ac:dyDescent="0.25">
      <c r="A25" s="16"/>
      <c r="B25" s="17" t="s">
        <v>198</v>
      </c>
      <c r="C25" s="17" t="s">
        <v>199</v>
      </c>
      <c r="D25" s="17" t="s">
        <v>186</v>
      </c>
      <c r="E25" s="17" t="s">
        <v>187</v>
      </c>
      <c r="F25" s="17" t="s">
        <v>188</v>
      </c>
      <c r="G25" s="17" t="s">
        <v>189</v>
      </c>
      <c r="H25" s="17" t="s">
        <v>190</v>
      </c>
      <c r="I25" s="17" t="s">
        <v>167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ht="30" customHeight="1" x14ac:dyDescent="0.25">
      <c r="A26" s="16"/>
      <c r="B26" s="86" t="s">
        <v>168</v>
      </c>
      <c r="C26" s="87">
        <v>0.79</v>
      </c>
      <c r="D26" s="24" t="str">
        <f>IF($C26&gt;=$H$9,"այո","ոչ")</f>
        <v>ոչ</v>
      </c>
      <c r="E26" s="20">
        <f>IF($C26&gt;=$H$9,$H$11,0)</f>
        <v>0</v>
      </c>
      <c r="F26" s="20">
        <f>$C26*$H$7*$H$8*$H$10</f>
        <v>63200</v>
      </c>
      <c r="G26" s="20">
        <f>$E26+$F26</f>
        <v>63200</v>
      </c>
      <c r="H26" s="20">
        <f>$G26*$D$43</f>
        <v>379200</v>
      </c>
      <c r="I26" s="89" t="s">
        <v>200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ht="30" customHeight="1" x14ac:dyDescent="0.25">
      <c r="A27" s="16"/>
      <c r="B27" s="86" t="s">
        <v>171</v>
      </c>
      <c r="C27" s="21">
        <f>$C$8</f>
        <v>0.8</v>
      </c>
      <c r="D27" s="24" t="str">
        <f>IF($C27&gt;=$H$9,"այո","ոչ")</f>
        <v>այո</v>
      </c>
      <c r="E27" s="20">
        <f>IF($C27&gt;=$H$9,$H$11,0)</f>
        <v>70000</v>
      </c>
      <c r="F27" s="20">
        <f>$C27*$H$7*$H$8*$H$10</f>
        <v>64000</v>
      </c>
      <c r="G27" s="20">
        <f>$E27+$F27</f>
        <v>134000</v>
      </c>
      <c r="H27" s="20">
        <f>$G27*$D$43</f>
        <v>804000</v>
      </c>
      <c r="I27" s="89" t="s">
        <v>201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ht="30" customHeight="1" x14ac:dyDescent="0.25">
      <c r="A28" s="16"/>
      <c r="B28" s="86" t="s">
        <v>174</v>
      </c>
      <c r="C28" s="21">
        <f>$C$9</f>
        <v>0.9</v>
      </c>
      <c r="D28" s="24" t="str">
        <f>IF($C28&gt;=$H$9,"այո","ոչ")</f>
        <v>այո</v>
      </c>
      <c r="E28" s="20">
        <f>IF($C28&gt;=$H$9,$H$11,0)</f>
        <v>70000</v>
      </c>
      <c r="F28" s="20">
        <f>$C28*$H$7*$H$8*$H$10</f>
        <v>72000</v>
      </c>
      <c r="G28" s="20">
        <f>$E28+$F28</f>
        <v>142000</v>
      </c>
      <c r="H28" s="20">
        <f>$G28*$D$43</f>
        <v>852000</v>
      </c>
      <c r="I28" s="89" t="s">
        <v>202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ht="30" customHeight="1" x14ac:dyDescent="0.25">
      <c r="A29" s="16"/>
      <c r="B29" s="86" t="s">
        <v>177</v>
      </c>
      <c r="C29" s="21">
        <f>$C$10</f>
        <v>1</v>
      </c>
      <c r="D29" s="24" t="str">
        <f>IF($C29&gt;=$H$9,"այո","ոչ")</f>
        <v>այո</v>
      </c>
      <c r="E29" s="20">
        <f>IF($C29&gt;=$H$9,$H$11,0)</f>
        <v>70000</v>
      </c>
      <c r="F29" s="20">
        <f>$C29*$H$7*$H$8*$H$10</f>
        <v>80000</v>
      </c>
      <c r="G29" s="20">
        <f>$E29+$F29</f>
        <v>150000</v>
      </c>
      <c r="H29" s="20">
        <f>$G29*$D$43</f>
        <v>900000</v>
      </c>
      <c r="I29" s="89" t="s">
        <v>194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ht="30" customHeight="1" x14ac:dyDescent="0.25">
      <c r="A30" s="16"/>
      <c r="B30" s="86" t="s">
        <v>180</v>
      </c>
      <c r="C30" s="21">
        <f>$C$11</f>
        <v>1.2</v>
      </c>
      <c r="D30" s="24" t="str">
        <f>IF($C30&gt;=$H$9,"այո","ոչ")</f>
        <v>այո</v>
      </c>
      <c r="E30" s="20">
        <f>IF($C30&gt;=$H$9,$H$11,0)</f>
        <v>70000</v>
      </c>
      <c r="F30" s="20">
        <f>$C30*$H$7*$H$8*$H$10</f>
        <v>96000</v>
      </c>
      <c r="G30" s="20">
        <f>$E30+$F30</f>
        <v>166000</v>
      </c>
      <c r="H30" s="20">
        <f>$G30*$D$43</f>
        <v>996000</v>
      </c>
      <c r="I30" s="89" t="s">
        <v>196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ht="6" customHeight="1" x14ac:dyDescent="0.25">
      <c r="A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ht="34.5" customHeight="1" x14ac:dyDescent="0.25">
      <c r="A32" s="16"/>
      <c r="B32" s="85" t="s">
        <v>203</v>
      </c>
      <c r="C32" s="85"/>
      <c r="D32" s="85"/>
      <c r="E32" s="85"/>
      <c r="F32" s="85"/>
      <c r="G32" s="85"/>
      <c r="H32" s="85"/>
      <c r="I32" s="85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ht="6" customHeight="1" x14ac:dyDescent="0.25">
      <c r="A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ht="39.75" customHeight="1" x14ac:dyDescent="0.25">
      <c r="A34" s="16"/>
      <c r="B34" s="17" t="s">
        <v>204</v>
      </c>
      <c r="C34" s="17" t="s">
        <v>205</v>
      </c>
      <c r="D34" s="17" t="s">
        <v>206</v>
      </c>
      <c r="E34" s="117" t="s">
        <v>167</v>
      </c>
      <c r="F34" s="117"/>
      <c r="G34" s="117"/>
      <c r="H34" s="117"/>
      <c r="I34" s="117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ht="30" customHeight="1" x14ac:dyDescent="0.25">
      <c r="A35" s="16"/>
      <c r="B35" s="86" t="s">
        <v>153</v>
      </c>
      <c r="C35" s="91" t="s">
        <v>207</v>
      </c>
      <c r="D35" s="88" t="s">
        <v>208</v>
      </c>
      <c r="E35" s="137" t="s">
        <v>209</v>
      </c>
      <c r="F35" s="137"/>
      <c r="G35" s="137"/>
      <c r="H35" s="137"/>
      <c r="I35" s="137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t="30" customHeight="1" x14ac:dyDescent="0.25">
      <c r="A36" s="16"/>
      <c r="B36" s="86" t="s">
        <v>155</v>
      </c>
      <c r="C36" s="91" t="s">
        <v>207</v>
      </c>
      <c r="D36" s="88" t="s">
        <v>208</v>
      </c>
      <c r="E36" s="137" t="s">
        <v>210</v>
      </c>
      <c r="F36" s="137"/>
      <c r="G36" s="137"/>
      <c r="H36" s="137"/>
      <c r="I36" s="137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ht="30" customHeight="1" x14ac:dyDescent="0.25">
      <c r="A37" s="16"/>
      <c r="B37" s="86" t="s">
        <v>113</v>
      </c>
      <c r="C37" s="91" t="s">
        <v>211</v>
      </c>
      <c r="D37" s="88">
        <v>150000</v>
      </c>
      <c r="E37" s="137" t="s">
        <v>212</v>
      </c>
      <c r="F37" s="137"/>
      <c r="G37" s="137"/>
      <c r="H37" s="137"/>
      <c r="I37" s="137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ht="6" customHeight="1" x14ac:dyDescent="0.25">
      <c r="A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ht="34.5" customHeight="1" x14ac:dyDescent="0.25">
      <c r="A39" s="16"/>
      <c r="B39" s="85" t="s">
        <v>213</v>
      </c>
      <c r="C39" s="85"/>
      <c r="D39" s="85"/>
      <c r="E39" s="85"/>
      <c r="F39" s="85"/>
      <c r="G39" s="85"/>
      <c r="H39" s="85"/>
      <c r="I39" s="85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 ht="6" customHeight="1" x14ac:dyDescent="0.25">
      <c r="A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ht="39.75" customHeight="1" x14ac:dyDescent="0.25">
      <c r="A41" s="16"/>
      <c r="B41" s="17" t="s">
        <v>65</v>
      </c>
      <c r="C41" s="17" t="s">
        <v>214</v>
      </c>
      <c r="D41" s="17" t="s">
        <v>47</v>
      </c>
      <c r="E41" s="117" t="s">
        <v>215</v>
      </c>
      <c r="F41" s="117"/>
      <c r="G41" s="117"/>
      <c r="H41" s="117"/>
      <c r="I41" s="117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ht="30" customHeight="1" x14ac:dyDescent="0.25">
      <c r="A42" s="16"/>
      <c r="B42" s="86" t="s">
        <v>216</v>
      </c>
      <c r="C42" s="89" t="s">
        <v>217</v>
      </c>
      <c r="D42" s="20">
        <f>SUMPRODUCT(--('Կառուցվածք և աշխատավարձ'!$R$7:$R$52="Ա. Ֆիքս + KPI բոնուս"),'Կառուցվածք և աշխատավարձ'!$F$7:$F$52)</f>
        <v>46</v>
      </c>
      <c r="E42" s="137" t="s">
        <v>218</v>
      </c>
      <c r="F42" s="137"/>
      <c r="G42" s="137"/>
      <c r="H42" s="137"/>
      <c r="I42" s="137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ht="30" customHeight="1" x14ac:dyDescent="0.25">
      <c r="A43" s="16"/>
      <c r="B43" s="86" t="s">
        <v>219</v>
      </c>
      <c r="C43" s="89" t="s">
        <v>113</v>
      </c>
      <c r="D43" s="20">
        <f>SUMPRODUCT(--('Կառուցվածք և աշխատավարձ'!$R$7:$R$52="Բ. D2D"),'Կառուցվածք և աշխատավարձ'!$F$7:$F$52)</f>
        <v>6</v>
      </c>
      <c r="E43" s="137" t="s">
        <v>220</v>
      </c>
      <c r="F43" s="137"/>
      <c r="G43" s="137"/>
      <c r="H43" s="137"/>
      <c r="I43" s="137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ht="30" customHeight="1" x14ac:dyDescent="0.25">
      <c r="A44" s="16"/>
      <c r="B44" s="86" t="s">
        <v>221</v>
      </c>
      <c r="C44" s="89" t="s">
        <v>222</v>
      </c>
      <c r="D44" s="20">
        <f>SUMPRODUCT(--('Կառուցվածք և աշխատավարձ'!$R$7:$R$52="Գ. ԱՁ"),'Կառուցվածք և աշխատավարձ'!$F$7:$F$52)</f>
        <v>2</v>
      </c>
      <c r="E44" s="137" t="s">
        <v>223</v>
      </c>
      <c r="F44" s="137"/>
      <c r="G44" s="137"/>
      <c r="H44" s="137"/>
      <c r="I44" s="137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ht="30" customHeight="1" x14ac:dyDescent="0.25">
      <c r="A45" s="16"/>
      <c r="B45" s="92" t="s">
        <v>63</v>
      </c>
      <c r="C45" s="93"/>
      <c r="D45" s="22">
        <f>SUM(D42:D44)</f>
        <v>54</v>
      </c>
      <c r="E45" s="138"/>
      <c r="F45" s="138"/>
      <c r="G45" s="138"/>
      <c r="H45" s="138"/>
      <c r="I45" s="138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6" customHeight="1" x14ac:dyDescent="0.25">
      <c r="A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ht="34.5" customHeight="1" x14ac:dyDescent="0.25">
      <c r="A47" s="16"/>
      <c r="B47" s="85" t="s">
        <v>224</v>
      </c>
      <c r="C47" s="85"/>
      <c r="D47" s="85"/>
      <c r="E47" s="85"/>
      <c r="F47" s="85"/>
      <c r="G47" s="85"/>
      <c r="H47" s="85"/>
      <c r="I47" s="85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ht="6" customHeight="1" x14ac:dyDescent="0.25">
      <c r="A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ht="39.75" customHeight="1" x14ac:dyDescent="0.25">
      <c r="A49" s="16"/>
      <c r="B49" s="17" t="s">
        <v>225</v>
      </c>
      <c r="C49" s="17" t="s">
        <v>226</v>
      </c>
      <c r="D49" s="17" t="s">
        <v>227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ht="30" customHeight="1" x14ac:dyDescent="0.25">
      <c r="A50" s="16"/>
      <c r="B50" s="86" t="s">
        <v>228</v>
      </c>
      <c r="C50" s="87">
        <v>0.8</v>
      </c>
      <c r="D50" s="87">
        <v>0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ht="30" customHeight="1" x14ac:dyDescent="0.25">
      <c r="A51" s="16"/>
      <c r="B51" s="86" t="s">
        <v>229</v>
      </c>
      <c r="C51" s="87">
        <v>1</v>
      </c>
      <c r="D51" s="87">
        <v>0.5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ht="30" customHeight="1" x14ac:dyDescent="0.25">
      <c r="A52" s="16"/>
      <c r="B52" s="86" t="s">
        <v>230</v>
      </c>
      <c r="C52" s="87">
        <v>1</v>
      </c>
      <c r="D52" s="87">
        <v>1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9.75" customHeight="1" x14ac:dyDescent="0.25">
      <c r="A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34.5" customHeight="1" x14ac:dyDescent="0.25">
      <c r="A54" s="16"/>
      <c r="B54" s="85" t="s">
        <v>231</v>
      </c>
      <c r="C54" s="85"/>
      <c r="D54" s="85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1:28" ht="6" customHeight="1" x14ac:dyDescent="0.25">
      <c r="A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ht="39.75" customHeight="1" x14ac:dyDescent="0.25">
      <c r="A56" s="16"/>
      <c r="B56" s="17" t="s">
        <v>165</v>
      </c>
      <c r="C56" s="17" t="s">
        <v>166</v>
      </c>
      <c r="D56" s="17" t="s">
        <v>167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1:28" ht="30" customHeight="1" x14ac:dyDescent="0.25">
      <c r="A57" s="16"/>
      <c r="B57" s="94" t="s">
        <v>69</v>
      </c>
      <c r="C57" s="95">
        <v>0.2</v>
      </c>
      <c r="D57" s="96" t="s">
        <v>232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30" customHeight="1" x14ac:dyDescent="0.25">
      <c r="A58" s="16"/>
      <c r="B58" s="86" t="s">
        <v>70</v>
      </c>
      <c r="C58" s="87">
        <v>0.05</v>
      </c>
      <c r="D58" s="89" t="s">
        <v>233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1:28" ht="30" customHeight="1" x14ac:dyDescent="0.25">
      <c r="A59" s="16"/>
      <c r="B59" s="86" t="s">
        <v>73</v>
      </c>
      <c r="C59" s="25">
        <f>1/(1-$C$57-$C$58)</f>
        <v>1.3333333333333333</v>
      </c>
      <c r="D59" s="89" t="s">
        <v>234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1:28" ht="30" customHeight="1" x14ac:dyDescent="0.25">
      <c r="A60" s="16"/>
      <c r="B60" s="86" t="s">
        <v>235</v>
      </c>
      <c r="C60" s="87">
        <v>0.5</v>
      </c>
      <c r="D60" s="89" t="s">
        <v>236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1:28" ht="6" customHeight="1" x14ac:dyDescent="0.25">
      <c r="A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1:28" ht="30" customHeight="1" x14ac:dyDescent="0.25">
      <c r="A62" s="16"/>
      <c r="B62" s="139" t="s">
        <v>237</v>
      </c>
      <c r="C62" s="139"/>
      <c r="D62" s="139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 ht="9.75" customHeight="1" x14ac:dyDescent="0.25">
      <c r="A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28" ht="34.5" customHeight="1" x14ac:dyDescent="0.25">
      <c r="A64" s="16"/>
      <c r="B64" s="85" t="s">
        <v>238</v>
      </c>
      <c r="C64" s="85"/>
      <c r="D64" s="85"/>
      <c r="E64" s="85"/>
      <c r="F64" s="8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 ht="6" customHeight="1" x14ac:dyDescent="0.25">
      <c r="A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1:28" ht="39.75" customHeight="1" x14ac:dyDescent="0.25">
      <c r="A66" s="16"/>
      <c r="B66" s="17" t="s">
        <v>239</v>
      </c>
      <c r="C66" s="17" t="s">
        <v>240</v>
      </c>
      <c r="D66" s="17" t="s">
        <v>241</v>
      </c>
      <c r="E66" s="17" t="s">
        <v>242</v>
      </c>
      <c r="F66" s="17" t="s">
        <v>243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 ht="30" customHeight="1" x14ac:dyDescent="0.25">
      <c r="A67" s="16"/>
      <c r="B67" s="86" t="s">
        <v>244</v>
      </c>
      <c r="C67" s="88">
        <v>100000</v>
      </c>
      <c r="D67" s="88">
        <v>1000</v>
      </c>
      <c r="E67" s="88">
        <v>0</v>
      </c>
      <c r="F67" s="20">
        <f>$C67*(1-$C$57-$C$58)-$D67-$E67</f>
        <v>74000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1:28" ht="30" customHeight="1" x14ac:dyDescent="0.25">
      <c r="A68" s="16"/>
      <c r="B68" s="86" t="s">
        <v>245</v>
      </c>
      <c r="C68" s="88">
        <v>200000</v>
      </c>
      <c r="D68" s="88">
        <v>1000</v>
      </c>
      <c r="E68" s="88">
        <v>0</v>
      </c>
      <c r="F68" s="20">
        <f>$C68*(1-$C$57-$C$58)-$D68-$E68</f>
        <v>149000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 ht="30" customHeight="1" x14ac:dyDescent="0.25">
      <c r="A69" s="16"/>
      <c r="B69" s="86" t="s">
        <v>246</v>
      </c>
      <c r="C69" s="88">
        <v>500000</v>
      </c>
      <c r="D69" s="88">
        <v>1000</v>
      </c>
      <c r="E69" s="88">
        <v>4800</v>
      </c>
      <c r="F69" s="20">
        <f>$C69*(1-$C$57-$C$58)-$D69-$E69</f>
        <v>369200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 ht="30" customHeight="1" x14ac:dyDescent="0.25">
      <c r="A70" s="16"/>
      <c r="B70" s="86" t="s">
        <v>247</v>
      </c>
      <c r="C70" s="88">
        <v>1000000</v>
      </c>
      <c r="D70" s="88">
        <v>1000</v>
      </c>
      <c r="E70" s="88">
        <v>10800</v>
      </c>
      <c r="F70" s="20">
        <f>$C70*(1-$C$57-$C$58)-$D70-$E70</f>
        <v>738200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 ht="30" customHeight="1" x14ac:dyDescent="0.25">
      <c r="A71" s="16"/>
      <c r="B71" s="86" t="s">
        <v>248</v>
      </c>
      <c r="C71" s="88">
        <v>99999999</v>
      </c>
      <c r="D71" s="88">
        <v>15000</v>
      </c>
      <c r="E71" s="88">
        <v>10800</v>
      </c>
      <c r="F71" s="20">
        <f>$C71*(1-$C$57-$C$58)-$D71-$E71</f>
        <v>74974199.25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1:28" ht="6" customHeight="1" x14ac:dyDescent="0.25">
      <c r="A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 ht="30" customHeight="1" x14ac:dyDescent="0.25">
      <c r="A73" s="16"/>
      <c r="B73" s="139" t="s">
        <v>249</v>
      </c>
      <c r="C73" s="139"/>
      <c r="D73" s="139"/>
      <c r="E73" s="139"/>
      <c r="F73" s="139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 ht="1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1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1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ht="1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ht="1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ht="1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ht="1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ht="1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 ht="1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ht="1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 ht="1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 ht="1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 ht="1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 ht="1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 ht="1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 ht="1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ht="1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ht="1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 ht="1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 ht="1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 ht="1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 ht="1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 ht="1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 ht="1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 ht="1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 ht="1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 ht="1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 ht="1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 ht="1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 ht="1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 ht="1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 ht="1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 ht="1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1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 ht="1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 ht="1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 ht="1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 ht="1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 ht="1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 ht="1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 ht="1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 ht="1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 ht="1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 ht="1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 ht="1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 ht="1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 ht="1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 ht="1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 ht="1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 ht="1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 ht="1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 ht="1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 ht="1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 ht="1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 ht="1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 ht="1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 ht="1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 ht="1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 ht="1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 ht="1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 ht="1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 ht="1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 ht="1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 ht="1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 ht="1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 ht="1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 ht="1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 ht="1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 ht="1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 ht="1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 ht="1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 ht="1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 ht="1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 ht="1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 ht="1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 ht="1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 ht="1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 ht="1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 ht="1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 ht="1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 ht="1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 ht="1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 ht="1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 ht="1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 ht="1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 ht="1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 ht="1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 ht="1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 ht="1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 ht="1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 ht="1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 ht="1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ht="1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 ht="1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 ht="1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 ht="1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 ht="1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 ht="1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 ht="1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ht="1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 ht="1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ht="1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 ht="1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 ht="1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 ht="1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ht="1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ht="1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ht="1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 ht="1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 ht="1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 ht="1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ht="1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 ht="1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 ht="1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 ht="1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 ht="1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 ht="1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 ht="1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 ht="1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 ht="1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 ht="1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 ht="1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 ht="1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 ht="1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spans="1:28" ht="1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 ht="1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spans="1:28" ht="1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spans="1:28" ht="1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spans="1:28" ht="1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spans="1:28" ht="1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spans="1:28" ht="1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spans="1:28" ht="1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spans="1:28" ht="1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spans="1:28" ht="1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spans="1:28" ht="1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spans="1:28" ht="1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spans="1:28" ht="1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spans="1:28" ht="1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spans="1:28" ht="1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spans="1:28" ht="1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spans="1:28" ht="1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spans="1:28" ht="1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spans="1:28" ht="1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spans="1:28" ht="1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spans="1:28" ht="1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spans="1:28" ht="1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spans="1:28" ht="1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spans="1:28" ht="1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spans="1:28" ht="1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spans="1:28" ht="1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spans="1:28" ht="1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spans="1:28" ht="1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spans="1:28" ht="1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spans="1:28" ht="1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spans="1:28" ht="1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spans="1:28" ht="1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spans="1:28" ht="1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spans="1:28" ht="1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spans="1:28" ht="1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spans="1:28" ht="1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spans="1:28" ht="1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spans="1:28" ht="1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spans="1:28" ht="1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spans="1:28" ht="1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spans="1:28" ht="1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spans="1:28" ht="1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spans="1:28" ht="1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spans="1:28" ht="1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spans="1:28" ht="1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spans="1:28" ht="1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spans="1:28" ht="1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spans="1:28" ht="1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spans="1:28" ht="1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spans="1:28" ht="1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spans="1:28" ht="1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spans="1:28" ht="1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spans="1:28" ht="1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spans="1:28" ht="1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spans="1:28" ht="1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spans="1:28" ht="1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spans="1:28" ht="1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spans="1:28" ht="1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spans="1:28" ht="1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spans="1:28" ht="1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spans="1:28" ht="1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spans="1:28" ht="1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spans="1:28" ht="1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spans="1:28" ht="1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spans="1:28" ht="1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spans="1:28" ht="1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spans="1:28" ht="1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spans="1:28" ht="1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spans="1:28" ht="1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spans="1:28" ht="1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spans="1:28" ht="1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spans="1:28" ht="1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spans="1:28" ht="1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spans="1:28" ht="1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spans="1:28" ht="1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spans="1:28" ht="1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spans="1:28" ht="1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spans="1:28" ht="1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spans="1:28" ht="1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spans="1:28" ht="1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spans="1:28" ht="1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spans="1:28" ht="1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spans="1:28" ht="1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spans="1:28" ht="1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spans="1:28" ht="1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spans="1:28" ht="1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spans="1:28" ht="1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spans="1:28" ht="1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spans="1:28" ht="1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spans="1:28" ht="1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spans="1:28" ht="1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spans="1:28" ht="1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spans="1:28" ht="1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spans="1:28" ht="1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spans="1:28" ht="1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spans="1:28" ht="1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spans="1:28" ht="1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spans="1:28" ht="1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spans="1:28" ht="1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spans="1:28" ht="1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spans="1:28" ht="1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spans="1:28" ht="1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spans="1:28" ht="1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spans="1:28" ht="1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spans="1:28" ht="1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spans="1:28" ht="1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spans="1:28" ht="1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spans="1:28" ht="1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spans="1:28" ht="1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spans="1:28" ht="1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spans="1:28" ht="1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spans="1:28" ht="1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spans="1:28" ht="1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spans="1:28" ht="1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spans="1:28" ht="1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spans="1:28" ht="1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spans="1:28" ht="1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spans="1:28" ht="1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spans="1:28" ht="1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spans="1:28" ht="1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spans="1:28" ht="1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spans="1:28" ht="1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spans="1:28" ht="1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spans="1:28" ht="1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spans="1:28" ht="1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spans="1:28" ht="1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spans="1:28" ht="1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spans="1:28" ht="1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spans="1:28" ht="1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spans="1:28" ht="1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spans="1:28" ht="1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spans="1:28" ht="1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spans="1:28" ht="1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spans="1:28" ht="1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spans="1:28" ht="1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spans="1:28" ht="1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spans="1:28" ht="1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spans="1:28" ht="1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spans="1:28" ht="1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spans="1:28" ht="1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spans="1:28" ht="1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spans="1:28" ht="1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spans="1:28" ht="1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spans="1:28" ht="1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spans="1:28" ht="1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spans="1:28" ht="1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spans="1:28" ht="1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spans="1:28" ht="1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spans="1:28" ht="1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spans="1:28" ht="1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spans="1:28" ht="1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spans="1:28" ht="1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spans="1:28" ht="1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spans="1:28" ht="1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spans="1:28" ht="1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spans="1:28" ht="1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spans="1:28" ht="1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spans="1:28" ht="1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spans="1:28" ht="1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spans="1:28" ht="1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spans="1:28" ht="1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spans="1:28" ht="1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spans="1:28" ht="1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spans="1:28" ht="1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spans="1:28" ht="1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spans="1:28" ht="1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spans="1:28" ht="1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spans="1:28" ht="1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spans="1:28" ht="1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spans="1:28" ht="1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spans="1:28" ht="1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spans="1:28" ht="1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spans="1:28" ht="1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spans="1:28" ht="1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spans="1:28" ht="1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spans="1:28" ht="1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spans="1:28" ht="1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spans="1:28" ht="1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spans="1:28" ht="1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spans="1:28" ht="1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spans="1:28" ht="1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spans="1:28" ht="1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spans="1:28" ht="1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spans="1:28" ht="1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spans="1:28" ht="1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spans="1:28" ht="1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spans="1:28" ht="1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spans="1:28" ht="1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spans="1:28" ht="1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spans="1:28" ht="1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spans="1:28" ht="1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spans="1:28" ht="1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spans="1:28" ht="1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spans="1:28" ht="1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spans="1:28" ht="1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spans="1:28" ht="1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</sheetData>
  <mergeCells count="19">
    <mergeCell ref="E44:I44"/>
    <mergeCell ref="E45:I45"/>
    <mergeCell ref="B62:D62"/>
    <mergeCell ref="B73:F73"/>
    <mergeCell ref="E36:I36"/>
    <mergeCell ref="E37:I37"/>
    <mergeCell ref="E41:I41"/>
    <mergeCell ref="E42:I42"/>
    <mergeCell ref="E43:I43"/>
    <mergeCell ref="F9:G9"/>
    <mergeCell ref="F10:G10"/>
    <mergeCell ref="F11:G11"/>
    <mergeCell ref="E34:I34"/>
    <mergeCell ref="E35:I35"/>
    <mergeCell ref="B2:I2"/>
    <mergeCell ref="F4:I4"/>
    <mergeCell ref="F6:G6"/>
    <mergeCell ref="F7:G7"/>
    <mergeCell ref="F8:G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D32"/>
  </sheetPr>
  <dimension ref="A1:U300"/>
  <sheetViews>
    <sheetView showGridLines="0" zoomScale="80" zoomScaleNormal="80" workbookViewId="0">
      <pane ySplit="7" topLeftCell="A8" activePane="bottomLeft" state="frozen"/>
      <selection pane="bottomLeft" activeCell="G7" sqref="G7"/>
    </sheetView>
  </sheetViews>
  <sheetFormatPr defaultColWidth="8.7109375" defaultRowHeight="15" x14ac:dyDescent="0.25"/>
  <cols>
    <col min="1" max="1" width="2.7109375" style="15" customWidth="1"/>
    <col min="2" max="2" width="28.5703125" style="15" customWidth="1"/>
    <col min="3" max="3" width="62.85546875" style="15" customWidth="1"/>
    <col min="4" max="4" width="14.28515625" style="15" customWidth="1"/>
    <col min="5" max="5" width="50.7109375" style="15" customWidth="1"/>
    <col min="6" max="6" width="15.28515625" style="15" customWidth="1"/>
    <col min="7" max="7" width="14.85546875" style="15" customWidth="1"/>
    <col min="8" max="8" width="18" style="15" customWidth="1"/>
    <col min="9" max="9" width="19.140625" style="15" customWidth="1"/>
    <col min="10" max="15" width="15.28515625" style="15" customWidth="1"/>
    <col min="16" max="16" width="20" style="15" customWidth="1"/>
    <col min="17" max="17" width="22.85546875" style="15" customWidth="1"/>
    <col min="18" max="18" width="17.140625" style="15" customWidth="1"/>
    <col min="19" max="21" width="24.7109375" style="15" customWidth="1"/>
  </cols>
  <sheetData>
    <row r="1" spans="1:18" ht="6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33.75" customHeight="1" x14ac:dyDescent="0.25">
      <c r="A2" s="16"/>
      <c r="B2" s="14" t="s">
        <v>250</v>
      </c>
      <c r="C2" s="14"/>
      <c r="D2" s="14"/>
      <c r="E2" s="14"/>
      <c r="F2" s="14"/>
      <c r="G2" s="14"/>
      <c r="H2" s="14"/>
      <c r="I2" s="14"/>
      <c r="J2" s="16"/>
      <c r="K2" s="16"/>
      <c r="L2" s="16"/>
      <c r="M2" s="16"/>
      <c r="N2" s="16"/>
      <c r="O2" s="16"/>
      <c r="P2" s="16"/>
      <c r="Q2" s="16"/>
      <c r="R2" s="16"/>
    </row>
    <row r="3" spans="1:18" ht="30" customHeight="1" x14ac:dyDescent="0.25">
      <c r="A3" s="16"/>
      <c r="B3" s="140" t="s">
        <v>251</v>
      </c>
      <c r="C3" s="140"/>
      <c r="D3" s="140"/>
      <c r="E3" s="140"/>
      <c r="F3" s="140"/>
      <c r="G3" s="140"/>
      <c r="H3" s="140"/>
      <c r="I3" s="140"/>
      <c r="J3" s="16"/>
      <c r="K3" s="16"/>
      <c r="L3" s="16"/>
      <c r="M3" s="16"/>
      <c r="N3" s="16"/>
      <c r="O3" s="16"/>
      <c r="P3" s="16"/>
      <c r="Q3" s="16"/>
      <c r="R3" s="16"/>
    </row>
    <row r="4" spans="1:18" ht="6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34.5" customHeight="1" x14ac:dyDescent="0.25">
      <c r="A5" s="16"/>
      <c r="B5" s="13" t="s">
        <v>252</v>
      </c>
      <c r="C5" s="13"/>
      <c r="D5" s="13"/>
      <c r="E5" s="13"/>
      <c r="F5" s="13"/>
      <c r="G5" s="13"/>
      <c r="H5" s="13"/>
      <c r="I5" s="13"/>
      <c r="J5" s="16"/>
      <c r="K5" s="16"/>
      <c r="L5" s="16"/>
      <c r="M5" s="16"/>
      <c r="N5" s="16"/>
      <c r="O5" s="16"/>
      <c r="P5" s="16"/>
      <c r="Q5" s="16"/>
      <c r="R5" s="16"/>
    </row>
    <row r="6" spans="1:18" ht="6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39.75" customHeight="1" x14ac:dyDescent="0.25">
      <c r="A7" s="16"/>
      <c r="B7" s="97" t="s">
        <v>46</v>
      </c>
      <c r="C7" s="97" t="s">
        <v>204</v>
      </c>
      <c r="D7" s="97" t="s">
        <v>47</v>
      </c>
      <c r="E7" s="97" t="s">
        <v>253</v>
      </c>
      <c r="F7" s="97" t="s">
        <v>254</v>
      </c>
      <c r="G7" s="97" t="s">
        <v>255</v>
      </c>
      <c r="H7" s="97" t="s">
        <v>256</v>
      </c>
      <c r="I7" s="97" t="s">
        <v>257</v>
      </c>
      <c r="J7" s="16"/>
      <c r="K7" s="16"/>
      <c r="L7" s="16"/>
      <c r="M7" s="16"/>
      <c r="N7" s="16"/>
      <c r="O7" s="16"/>
      <c r="P7" s="16"/>
      <c r="Q7" s="16"/>
      <c r="R7" s="16"/>
    </row>
    <row r="8" spans="1:18" ht="24" customHeight="1" x14ac:dyDescent="0.25">
      <c r="A8" s="16"/>
      <c r="B8" s="98" t="s">
        <v>100</v>
      </c>
      <c r="C8" s="99" t="s">
        <v>102</v>
      </c>
      <c r="D8" s="100">
        <v>1</v>
      </c>
      <c r="E8" s="19" t="s">
        <v>258</v>
      </c>
      <c r="F8" s="101">
        <v>0.4</v>
      </c>
      <c r="G8" s="24" t="s">
        <v>259</v>
      </c>
      <c r="H8" s="24" t="s">
        <v>260</v>
      </c>
      <c r="I8" s="89" t="s">
        <v>261</v>
      </c>
      <c r="J8" s="16"/>
      <c r="K8" s="16"/>
      <c r="L8" s="16"/>
      <c r="M8" s="16"/>
      <c r="N8" s="16"/>
      <c r="O8" s="16"/>
      <c r="P8" s="16"/>
      <c r="Q8" s="16"/>
      <c r="R8" s="16"/>
    </row>
    <row r="9" spans="1:18" ht="24" customHeight="1" x14ac:dyDescent="0.25">
      <c r="A9" s="16"/>
      <c r="B9" s="98"/>
      <c r="C9" s="99"/>
      <c r="D9" s="100"/>
      <c r="E9" s="19" t="s">
        <v>262</v>
      </c>
      <c r="F9" s="101">
        <v>0.25</v>
      </c>
      <c r="G9" s="24" t="s">
        <v>259</v>
      </c>
      <c r="H9" s="24" t="s">
        <v>260</v>
      </c>
      <c r="I9" s="89" t="s">
        <v>263</v>
      </c>
      <c r="J9" s="16"/>
      <c r="K9" s="16"/>
      <c r="L9" s="16"/>
      <c r="M9" s="16"/>
      <c r="N9" s="16"/>
      <c r="O9" s="16"/>
      <c r="P9" s="16"/>
      <c r="Q9" s="16"/>
      <c r="R9" s="16"/>
    </row>
    <row r="10" spans="1:18" ht="24" customHeight="1" x14ac:dyDescent="0.25">
      <c r="A10" s="16"/>
      <c r="B10" s="98"/>
      <c r="C10" s="99"/>
      <c r="D10" s="100"/>
      <c r="E10" s="19" t="s">
        <v>264</v>
      </c>
      <c r="F10" s="101">
        <v>0.2</v>
      </c>
      <c r="G10" s="24" t="s">
        <v>259</v>
      </c>
      <c r="H10" s="24" t="s">
        <v>260</v>
      </c>
      <c r="I10" s="89" t="s">
        <v>263</v>
      </c>
      <c r="J10" s="16"/>
      <c r="K10" s="16"/>
      <c r="L10" s="16"/>
      <c r="M10" s="16"/>
      <c r="N10" s="16"/>
      <c r="O10" s="16"/>
      <c r="P10" s="16"/>
      <c r="Q10" s="16"/>
      <c r="R10" s="16"/>
    </row>
    <row r="11" spans="1:18" ht="24" customHeight="1" x14ac:dyDescent="0.25">
      <c r="A11" s="16"/>
      <c r="B11" s="98"/>
      <c r="C11" s="99"/>
      <c r="D11" s="100"/>
      <c r="E11" s="19" t="s">
        <v>265</v>
      </c>
      <c r="F11" s="101">
        <v>0.15</v>
      </c>
      <c r="G11" s="24" t="s">
        <v>259</v>
      </c>
      <c r="H11" s="24" t="s">
        <v>260</v>
      </c>
      <c r="I11" s="89" t="s">
        <v>263</v>
      </c>
      <c r="J11" s="16"/>
      <c r="K11" s="16"/>
      <c r="L11" s="16"/>
      <c r="M11" s="16"/>
      <c r="N11" s="16"/>
      <c r="O11" s="16"/>
      <c r="P11" s="16"/>
      <c r="Q11" s="16"/>
      <c r="R11" s="16"/>
    </row>
    <row r="12" spans="1:18" ht="24" customHeight="1" x14ac:dyDescent="0.25">
      <c r="A12" s="16"/>
      <c r="B12" s="98" t="s">
        <v>100</v>
      </c>
      <c r="C12" s="99" t="s">
        <v>104</v>
      </c>
      <c r="D12" s="100">
        <v>3</v>
      </c>
      <c r="E12" s="19" t="s">
        <v>266</v>
      </c>
      <c r="F12" s="101">
        <v>0.4</v>
      </c>
      <c r="G12" s="24" t="s">
        <v>259</v>
      </c>
      <c r="H12" s="24" t="s">
        <v>267</v>
      </c>
      <c r="I12" s="89" t="s">
        <v>261</v>
      </c>
      <c r="J12" s="16"/>
      <c r="K12" s="16"/>
      <c r="L12" s="16"/>
      <c r="M12" s="16"/>
      <c r="N12" s="16"/>
      <c r="O12" s="16"/>
      <c r="P12" s="16"/>
      <c r="Q12" s="16"/>
      <c r="R12" s="16"/>
    </row>
    <row r="13" spans="1:18" ht="24" customHeight="1" x14ac:dyDescent="0.25">
      <c r="A13" s="16"/>
      <c r="B13" s="98"/>
      <c r="C13" s="99"/>
      <c r="D13" s="100"/>
      <c r="E13" s="19" t="s">
        <v>268</v>
      </c>
      <c r="F13" s="101">
        <v>0.3</v>
      </c>
      <c r="G13" s="24" t="s">
        <v>259</v>
      </c>
      <c r="H13" s="24" t="s">
        <v>260</v>
      </c>
      <c r="I13" s="89" t="s">
        <v>263</v>
      </c>
      <c r="J13" s="16"/>
      <c r="K13" s="16"/>
      <c r="L13" s="16"/>
      <c r="M13" s="16"/>
      <c r="N13" s="16"/>
      <c r="O13" s="16"/>
      <c r="P13" s="16"/>
      <c r="Q13" s="16"/>
      <c r="R13" s="16"/>
    </row>
    <row r="14" spans="1:18" ht="24" customHeight="1" x14ac:dyDescent="0.25">
      <c r="A14" s="16"/>
      <c r="B14" s="98"/>
      <c r="C14" s="99"/>
      <c r="D14" s="100"/>
      <c r="E14" s="19" t="s">
        <v>269</v>
      </c>
      <c r="F14" s="101">
        <v>0.15</v>
      </c>
      <c r="G14" s="24" t="s">
        <v>259</v>
      </c>
      <c r="H14" s="24" t="s">
        <v>267</v>
      </c>
      <c r="I14" s="89" t="s">
        <v>261</v>
      </c>
      <c r="J14" s="16"/>
      <c r="K14" s="16"/>
      <c r="L14" s="16"/>
      <c r="M14" s="16"/>
      <c r="N14" s="16"/>
      <c r="O14" s="16"/>
      <c r="P14" s="16"/>
      <c r="Q14" s="16"/>
      <c r="R14" s="16"/>
    </row>
    <row r="15" spans="1:18" ht="24" customHeight="1" x14ac:dyDescent="0.25">
      <c r="A15" s="16"/>
      <c r="B15" s="98"/>
      <c r="C15" s="99"/>
      <c r="D15" s="100"/>
      <c r="E15" s="19" t="s">
        <v>270</v>
      </c>
      <c r="F15" s="101">
        <v>0.15</v>
      </c>
      <c r="G15" s="24" t="s">
        <v>259</v>
      </c>
      <c r="H15" s="24" t="s">
        <v>260</v>
      </c>
      <c r="I15" s="89" t="s">
        <v>263</v>
      </c>
      <c r="J15" s="16"/>
      <c r="K15" s="16"/>
      <c r="L15" s="16"/>
      <c r="M15" s="16"/>
      <c r="N15" s="16"/>
      <c r="O15" s="16"/>
      <c r="P15" s="16"/>
      <c r="Q15" s="16"/>
      <c r="R15" s="16"/>
    </row>
    <row r="16" spans="1:18" ht="24" customHeight="1" x14ac:dyDescent="0.25">
      <c r="A16" s="16"/>
      <c r="B16" s="98" t="s">
        <v>100</v>
      </c>
      <c r="C16" s="99" t="s">
        <v>105</v>
      </c>
      <c r="D16" s="100">
        <v>3</v>
      </c>
      <c r="E16" s="19" t="s">
        <v>271</v>
      </c>
      <c r="F16" s="101">
        <v>0.65</v>
      </c>
      <c r="G16" s="24" t="s">
        <v>259</v>
      </c>
      <c r="H16" s="24" t="s">
        <v>267</v>
      </c>
      <c r="I16" s="89" t="s">
        <v>261</v>
      </c>
      <c r="J16" s="16"/>
      <c r="K16" s="16"/>
      <c r="L16" s="16"/>
      <c r="M16" s="16"/>
      <c r="N16" s="16"/>
      <c r="O16" s="16"/>
      <c r="P16" s="16"/>
      <c r="Q16" s="16"/>
      <c r="R16" s="16"/>
    </row>
    <row r="17" spans="1:18" ht="24" customHeight="1" x14ac:dyDescent="0.25">
      <c r="A17" s="16"/>
      <c r="B17" s="98"/>
      <c r="C17" s="99"/>
      <c r="D17" s="100"/>
      <c r="E17" s="19" t="s">
        <v>272</v>
      </c>
      <c r="F17" s="101">
        <v>0.2</v>
      </c>
      <c r="G17" s="24" t="s">
        <v>259</v>
      </c>
      <c r="H17" s="24" t="s">
        <v>260</v>
      </c>
      <c r="I17" s="89" t="s">
        <v>263</v>
      </c>
      <c r="J17" s="16"/>
      <c r="K17" s="16"/>
      <c r="L17" s="16"/>
      <c r="M17" s="16"/>
      <c r="N17" s="16"/>
      <c r="O17" s="16"/>
      <c r="P17" s="16"/>
      <c r="Q17" s="16"/>
      <c r="R17" s="16"/>
    </row>
    <row r="18" spans="1:18" ht="24" customHeight="1" x14ac:dyDescent="0.25">
      <c r="A18" s="16"/>
      <c r="B18" s="98"/>
      <c r="C18" s="99"/>
      <c r="D18" s="100"/>
      <c r="E18" s="19" t="s">
        <v>273</v>
      </c>
      <c r="F18" s="101">
        <v>0.15</v>
      </c>
      <c r="G18" s="24" t="s">
        <v>259</v>
      </c>
      <c r="H18" s="24" t="s">
        <v>260</v>
      </c>
      <c r="I18" s="89" t="s">
        <v>263</v>
      </c>
      <c r="J18" s="16"/>
      <c r="K18" s="16"/>
      <c r="L18" s="16"/>
      <c r="M18" s="16"/>
      <c r="N18" s="16"/>
      <c r="O18" s="16"/>
      <c r="P18" s="16"/>
      <c r="Q18" s="16"/>
      <c r="R18" s="16"/>
    </row>
    <row r="19" spans="1:18" ht="24" customHeight="1" x14ac:dyDescent="0.25">
      <c r="A19" s="16"/>
      <c r="B19" s="98" t="s">
        <v>100</v>
      </c>
      <c r="C19" s="99" t="s">
        <v>106</v>
      </c>
      <c r="D19" s="100">
        <v>1</v>
      </c>
      <c r="E19" s="19" t="s">
        <v>274</v>
      </c>
      <c r="F19" s="101">
        <v>0.35</v>
      </c>
      <c r="G19" s="24" t="s">
        <v>259</v>
      </c>
      <c r="H19" s="24" t="s">
        <v>267</v>
      </c>
      <c r="I19" s="89" t="s">
        <v>261</v>
      </c>
      <c r="J19" s="16"/>
      <c r="K19" s="16"/>
      <c r="L19" s="16"/>
      <c r="M19" s="16"/>
      <c r="N19" s="16"/>
      <c r="O19" s="16"/>
      <c r="P19" s="16"/>
      <c r="Q19" s="16"/>
      <c r="R19" s="16"/>
    </row>
    <row r="20" spans="1:18" ht="24" customHeight="1" x14ac:dyDescent="0.25">
      <c r="A20" s="16"/>
      <c r="B20" s="98"/>
      <c r="C20" s="99"/>
      <c r="D20" s="100"/>
      <c r="E20" s="19" t="s">
        <v>275</v>
      </c>
      <c r="F20" s="101">
        <v>0.3</v>
      </c>
      <c r="G20" s="24" t="s">
        <v>259</v>
      </c>
      <c r="H20" s="24" t="s">
        <v>260</v>
      </c>
      <c r="I20" s="89" t="s">
        <v>263</v>
      </c>
      <c r="J20" s="16"/>
      <c r="K20" s="16"/>
      <c r="L20" s="16"/>
      <c r="M20" s="16"/>
      <c r="N20" s="16"/>
      <c r="O20" s="16"/>
      <c r="P20" s="16"/>
      <c r="Q20" s="16"/>
      <c r="R20" s="16"/>
    </row>
    <row r="21" spans="1:18" ht="24" customHeight="1" x14ac:dyDescent="0.25">
      <c r="A21" s="16"/>
      <c r="B21" s="98"/>
      <c r="C21" s="99"/>
      <c r="D21" s="100"/>
      <c r="E21" s="19" t="s">
        <v>276</v>
      </c>
      <c r="F21" s="101">
        <v>0.2</v>
      </c>
      <c r="G21" s="24" t="s">
        <v>259</v>
      </c>
      <c r="H21" s="24" t="s">
        <v>260</v>
      </c>
      <c r="I21" s="89" t="s">
        <v>277</v>
      </c>
      <c r="J21" s="16"/>
      <c r="K21" s="16"/>
      <c r="L21" s="16"/>
      <c r="M21" s="16"/>
      <c r="N21" s="16"/>
      <c r="O21" s="16"/>
      <c r="P21" s="16"/>
      <c r="Q21" s="16"/>
      <c r="R21" s="16"/>
    </row>
    <row r="22" spans="1:18" ht="24" customHeight="1" x14ac:dyDescent="0.25">
      <c r="A22" s="16"/>
      <c r="B22" s="98"/>
      <c r="C22" s="99"/>
      <c r="D22" s="100"/>
      <c r="E22" s="19" t="s">
        <v>278</v>
      </c>
      <c r="F22" s="101">
        <v>0.15</v>
      </c>
      <c r="G22" s="24" t="s">
        <v>259</v>
      </c>
      <c r="H22" s="24" t="s">
        <v>260</v>
      </c>
      <c r="I22" s="89" t="s">
        <v>277</v>
      </c>
      <c r="J22" s="16"/>
      <c r="K22" s="16"/>
      <c r="L22" s="16"/>
      <c r="M22" s="16"/>
      <c r="N22" s="16"/>
      <c r="O22" s="16"/>
      <c r="P22" s="16"/>
      <c r="Q22" s="16"/>
      <c r="R22" s="16"/>
    </row>
    <row r="23" spans="1:18" ht="24" customHeight="1" x14ac:dyDescent="0.25">
      <c r="A23" s="16"/>
      <c r="B23" s="98" t="s">
        <v>100</v>
      </c>
      <c r="C23" s="99" t="s">
        <v>107</v>
      </c>
      <c r="D23" s="100">
        <v>2</v>
      </c>
      <c r="E23" s="19" t="s">
        <v>279</v>
      </c>
      <c r="F23" s="101">
        <v>0.6</v>
      </c>
      <c r="G23" s="24" t="s">
        <v>259</v>
      </c>
      <c r="H23" s="24" t="s">
        <v>267</v>
      </c>
      <c r="I23" s="89" t="s">
        <v>261</v>
      </c>
      <c r="J23" s="16"/>
      <c r="K23" s="16"/>
      <c r="L23" s="16"/>
      <c r="M23" s="16"/>
      <c r="N23" s="16"/>
      <c r="O23" s="16"/>
      <c r="P23" s="16"/>
      <c r="Q23" s="16"/>
      <c r="R23" s="16"/>
    </row>
    <row r="24" spans="1:18" ht="24" customHeight="1" x14ac:dyDescent="0.25">
      <c r="A24" s="16"/>
      <c r="B24" s="98"/>
      <c r="C24" s="99"/>
      <c r="D24" s="100"/>
      <c r="E24" s="19" t="s">
        <v>280</v>
      </c>
      <c r="F24" s="101">
        <v>0.25</v>
      </c>
      <c r="G24" s="24" t="s">
        <v>259</v>
      </c>
      <c r="H24" s="24" t="s">
        <v>260</v>
      </c>
      <c r="I24" s="89" t="s">
        <v>277</v>
      </c>
      <c r="J24" s="16"/>
      <c r="K24" s="16"/>
      <c r="L24" s="16"/>
      <c r="M24" s="16"/>
      <c r="N24" s="16"/>
      <c r="O24" s="16"/>
      <c r="P24" s="16"/>
      <c r="Q24" s="16"/>
      <c r="R24" s="16"/>
    </row>
    <row r="25" spans="1:18" ht="24" customHeight="1" x14ac:dyDescent="0.25">
      <c r="A25" s="16"/>
      <c r="B25" s="98"/>
      <c r="C25" s="99"/>
      <c r="D25" s="100"/>
      <c r="E25" s="19" t="s">
        <v>281</v>
      </c>
      <c r="F25" s="101">
        <v>0.15</v>
      </c>
      <c r="G25" s="24" t="s">
        <v>259</v>
      </c>
      <c r="H25" s="24" t="s">
        <v>260</v>
      </c>
      <c r="I25" s="89" t="s">
        <v>277</v>
      </c>
      <c r="J25" s="16"/>
      <c r="K25" s="16"/>
      <c r="L25" s="16"/>
      <c r="M25" s="16"/>
      <c r="N25" s="16"/>
      <c r="O25" s="16"/>
      <c r="P25" s="16"/>
      <c r="Q25" s="16"/>
      <c r="R25" s="16"/>
    </row>
    <row r="26" spans="1:18" ht="24" customHeight="1" x14ac:dyDescent="0.25">
      <c r="A26" s="16"/>
      <c r="B26" s="98" t="s">
        <v>100</v>
      </c>
      <c r="C26" s="99" t="s">
        <v>113</v>
      </c>
      <c r="D26" s="100">
        <v>6</v>
      </c>
      <c r="E26" s="19" t="s">
        <v>282</v>
      </c>
      <c r="F26" s="101" t="s">
        <v>208</v>
      </c>
      <c r="G26" s="24" t="s">
        <v>208</v>
      </c>
      <c r="H26" s="24" t="s">
        <v>208</v>
      </c>
      <c r="I26" s="89" t="s">
        <v>208</v>
      </c>
      <c r="J26" s="16"/>
      <c r="K26" s="16"/>
      <c r="L26" s="16"/>
      <c r="M26" s="16"/>
      <c r="N26" s="16"/>
      <c r="O26" s="16"/>
      <c r="P26" s="16"/>
      <c r="Q26" s="16"/>
      <c r="R26" s="16"/>
    </row>
    <row r="27" spans="1:18" ht="24" customHeight="1" x14ac:dyDescent="0.25">
      <c r="A27" s="16"/>
      <c r="B27" s="98" t="s">
        <v>100</v>
      </c>
      <c r="C27" s="99" t="s">
        <v>109</v>
      </c>
      <c r="D27" s="100">
        <v>1</v>
      </c>
      <c r="E27" s="19" t="s">
        <v>283</v>
      </c>
      <c r="F27" s="101">
        <v>0.35</v>
      </c>
      <c r="G27" s="24" t="s">
        <v>259</v>
      </c>
      <c r="H27" s="24" t="s">
        <v>267</v>
      </c>
      <c r="I27" s="89" t="s">
        <v>263</v>
      </c>
      <c r="J27" s="16"/>
      <c r="K27" s="16"/>
      <c r="L27" s="16"/>
      <c r="M27" s="16"/>
      <c r="N27" s="16"/>
      <c r="O27" s="16"/>
      <c r="P27" s="16"/>
      <c r="Q27" s="16"/>
      <c r="R27" s="16"/>
    </row>
    <row r="28" spans="1:18" ht="24" customHeight="1" x14ac:dyDescent="0.25">
      <c r="A28" s="16"/>
      <c r="B28" s="98"/>
      <c r="C28" s="99"/>
      <c r="D28" s="100"/>
      <c r="E28" s="19" t="s">
        <v>284</v>
      </c>
      <c r="F28" s="101">
        <v>0.25</v>
      </c>
      <c r="G28" s="24" t="s">
        <v>285</v>
      </c>
      <c r="H28" s="24" t="s">
        <v>286</v>
      </c>
      <c r="I28" s="89" t="s">
        <v>287</v>
      </c>
      <c r="J28" s="16"/>
      <c r="K28" s="16"/>
      <c r="L28" s="16"/>
      <c r="M28" s="16"/>
      <c r="N28" s="16"/>
      <c r="O28" s="16"/>
      <c r="P28" s="16"/>
      <c r="Q28" s="16"/>
      <c r="R28" s="16"/>
    </row>
    <row r="29" spans="1:18" ht="24" customHeight="1" x14ac:dyDescent="0.25">
      <c r="A29" s="16"/>
      <c r="B29" s="98"/>
      <c r="C29" s="99"/>
      <c r="D29" s="100"/>
      <c r="E29" s="19" t="s">
        <v>288</v>
      </c>
      <c r="F29" s="101">
        <v>0.2</v>
      </c>
      <c r="G29" s="24" t="s">
        <v>259</v>
      </c>
      <c r="H29" s="24" t="s">
        <v>260</v>
      </c>
      <c r="I29" s="89" t="s">
        <v>263</v>
      </c>
      <c r="J29" s="16"/>
      <c r="K29" s="16"/>
      <c r="L29" s="16"/>
      <c r="M29" s="16"/>
      <c r="N29" s="16"/>
      <c r="O29" s="16"/>
      <c r="P29" s="16"/>
      <c r="Q29" s="16"/>
      <c r="R29" s="16"/>
    </row>
    <row r="30" spans="1:18" ht="24" customHeight="1" x14ac:dyDescent="0.25">
      <c r="A30" s="16"/>
      <c r="B30" s="98"/>
      <c r="C30" s="99"/>
      <c r="D30" s="100"/>
      <c r="E30" s="19" t="s">
        <v>289</v>
      </c>
      <c r="F30" s="101">
        <v>0.2</v>
      </c>
      <c r="G30" s="24" t="s">
        <v>259</v>
      </c>
      <c r="H30" s="24" t="s">
        <v>260</v>
      </c>
      <c r="I30" s="89" t="s">
        <v>263</v>
      </c>
      <c r="J30" s="16"/>
      <c r="K30" s="16"/>
      <c r="L30" s="16"/>
      <c r="M30" s="16"/>
      <c r="N30" s="16"/>
      <c r="O30" s="16"/>
      <c r="P30" s="16"/>
      <c r="Q30" s="16"/>
      <c r="R30" s="16"/>
    </row>
    <row r="31" spans="1:18" ht="24" customHeight="1" x14ac:dyDescent="0.25">
      <c r="A31" s="16"/>
      <c r="B31" s="98" t="s">
        <v>100</v>
      </c>
      <c r="C31" s="99" t="s">
        <v>110</v>
      </c>
      <c r="D31" s="100">
        <v>1</v>
      </c>
      <c r="E31" s="19" t="s">
        <v>290</v>
      </c>
      <c r="F31" s="101">
        <v>0.45</v>
      </c>
      <c r="G31" s="24" t="s">
        <v>259</v>
      </c>
      <c r="H31" s="24" t="s">
        <v>267</v>
      </c>
      <c r="I31" s="89" t="s">
        <v>263</v>
      </c>
      <c r="J31" s="16"/>
      <c r="K31" s="16"/>
      <c r="L31" s="16"/>
      <c r="M31" s="16"/>
      <c r="N31" s="16"/>
      <c r="O31" s="16"/>
      <c r="P31" s="16"/>
      <c r="Q31" s="16"/>
      <c r="R31" s="16"/>
    </row>
    <row r="32" spans="1:18" ht="24" customHeight="1" x14ac:dyDescent="0.25">
      <c r="A32" s="16"/>
      <c r="B32" s="98"/>
      <c r="C32" s="99"/>
      <c r="D32" s="100"/>
      <c r="E32" s="19" t="s">
        <v>291</v>
      </c>
      <c r="F32" s="101">
        <v>0.3</v>
      </c>
      <c r="G32" s="24" t="s">
        <v>285</v>
      </c>
      <c r="H32" s="24" t="s">
        <v>286</v>
      </c>
      <c r="I32" s="89" t="s">
        <v>287</v>
      </c>
      <c r="J32" s="16"/>
      <c r="K32" s="16"/>
      <c r="L32" s="16"/>
      <c r="M32" s="16"/>
      <c r="N32" s="16"/>
      <c r="O32" s="16"/>
      <c r="P32" s="16"/>
      <c r="Q32" s="16"/>
      <c r="R32" s="16"/>
    </row>
    <row r="33" spans="1:18" ht="24" customHeight="1" x14ac:dyDescent="0.25">
      <c r="A33" s="16"/>
      <c r="B33" s="98"/>
      <c r="C33" s="99"/>
      <c r="D33" s="100"/>
      <c r="E33" s="19" t="s">
        <v>292</v>
      </c>
      <c r="F33" s="101">
        <v>0.25</v>
      </c>
      <c r="G33" s="24" t="s">
        <v>259</v>
      </c>
      <c r="H33" s="24" t="s">
        <v>260</v>
      </c>
      <c r="I33" s="89" t="s">
        <v>263</v>
      </c>
      <c r="J33" s="16"/>
      <c r="K33" s="16"/>
      <c r="L33" s="16"/>
      <c r="M33" s="16"/>
      <c r="N33" s="16"/>
      <c r="O33" s="16"/>
      <c r="P33" s="16"/>
      <c r="Q33" s="16"/>
      <c r="R33" s="16"/>
    </row>
    <row r="34" spans="1:18" ht="24" customHeight="1" x14ac:dyDescent="0.25">
      <c r="A34" s="16"/>
      <c r="B34" s="98" t="s">
        <v>100</v>
      </c>
      <c r="C34" s="99" t="s">
        <v>111</v>
      </c>
      <c r="D34" s="100">
        <v>1</v>
      </c>
      <c r="E34" s="19" t="s">
        <v>293</v>
      </c>
      <c r="F34" s="101">
        <v>0.4</v>
      </c>
      <c r="G34" s="24" t="s">
        <v>259</v>
      </c>
      <c r="H34" s="24" t="s">
        <v>260</v>
      </c>
      <c r="I34" s="89" t="s">
        <v>294</v>
      </c>
      <c r="J34" s="16"/>
      <c r="K34" s="16"/>
      <c r="L34" s="16"/>
      <c r="M34" s="16"/>
      <c r="N34" s="16"/>
      <c r="O34" s="16"/>
      <c r="P34" s="16"/>
      <c r="Q34" s="16"/>
      <c r="R34" s="16"/>
    </row>
    <row r="35" spans="1:18" ht="24" customHeight="1" x14ac:dyDescent="0.25">
      <c r="A35" s="16"/>
      <c r="B35" s="98"/>
      <c r="C35" s="99"/>
      <c r="D35" s="100"/>
      <c r="E35" s="19" t="s">
        <v>295</v>
      </c>
      <c r="F35" s="101">
        <v>0.3</v>
      </c>
      <c r="G35" s="24" t="s">
        <v>259</v>
      </c>
      <c r="H35" s="24" t="s">
        <v>260</v>
      </c>
      <c r="I35" s="89" t="s">
        <v>296</v>
      </c>
      <c r="J35" s="16"/>
      <c r="K35" s="16"/>
      <c r="L35" s="16"/>
      <c r="M35" s="16"/>
      <c r="N35" s="16"/>
      <c r="O35" s="16"/>
      <c r="P35" s="16"/>
      <c r="Q35" s="16"/>
      <c r="R35" s="16"/>
    </row>
    <row r="36" spans="1:18" ht="24" customHeight="1" x14ac:dyDescent="0.25">
      <c r="A36" s="16"/>
      <c r="B36" s="98"/>
      <c r="C36" s="99"/>
      <c r="D36" s="100"/>
      <c r="E36" s="19" t="s">
        <v>297</v>
      </c>
      <c r="F36" s="101">
        <v>0.3</v>
      </c>
      <c r="G36" s="24" t="s">
        <v>259</v>
      </c>
      <c r="H36" s="24" t="s">
        <v>267</v>
      </c>
      <c r="I36" s="89" t="s">
        <v>263</v>
      </c>
      <c r="J36" s="16"/>
      <c r="K36" s="16"/>
      <c r="L36" s="16"/>
      <c r="M36" s="16"/>
      <c r="N36" s="16"/>
      <c r="O36" s="16"/>
      <c r="P36" s="16"/>
      <c r="Q36" s="16"/>
      <c r="R36" s="16"/>
    </row>
    <row r="37" spans="1:18" ht="24" customHeight="1" x14ac:dyDescent="0.25">
      <c r="A37" s="16"/>
      <c r="B37" s="98" t="s">
        <v>59</v>
      </c>
      <c r="C37" s="99" t="s">
        <v>119</v>
      </c>
      <c r="D37" s="100">
        <v>1</v>
      </c>
      <c r="E37" s="19" t="s">
        <v>298</v>
      </c>
      <c r="F37" s="101">
        <v>0.4</v>
      </c>
      <c r="G37" s="24" t="s">
        <v>259</v>
      </c>
      <c r="H37" s="24" t="s">
        <v>260</v>
      </c>
      <c r="I37" s="89" t="s">
        <v>263</v>
      </c>
      <c r="J37" s="16"/>
      <c r="K37" s="16"/>
      <c r="L37" s="16"/>
      <c r="M37" s="16"/>
      <c r="N37" s="16"/>
      <c r="O37" s="16"/>
      <c r="P37" s="16"/>
      <c r="Q37" s="16"/>
      <c r="R37" s="16"/>
    </row>
    <row r="38" spans="1:18" ht="24" customHeight="1" x14ac:dyDescent="0.25">
      <c r="A38" s="16"/>
      <c r="B38" s="98"/>
      <c r="C38" s="99"/>
      <c r="D38" s="100"/>
      <c r="E38" s="19" t="s">
        <v>299</v>
      </c>
      <c r="F38" s="101">
        <v>0.3</v>
      </c>
      <c r="G38" s="24" t="s">
        <v>259</v>
      </c>
      <c r="H38" s="24" t="s">
        <v>260</v>
      </c>
      <c r="I38" s="89" t="s">
        <v>263</v>
      </c>
      <c r="J38" s="16"/>
      <c r="K38" s="16"/>
      <c r="L38" s="16"/>
      <c r="M38" s="16"/>
      <c r="N38" s="16"/>
      <c r="O38" s="16"/>
      <c r="P38" s="16"/>
      <c r="Q38" s="16"/>
      <c r="R38" s="16"/>
    </row>
    <row r="39" spans="1:18" ht="24" customHeight="1" x14ac:dyDescent="0.25">
      <c r="A39" s="16"/>
      <c r="B39" s="98"/>
      <c r="C39" s="99"/>
      <c r="D39" s="100"/>
      <c r="E39" s="19" t="s">
        <v>300</v>
      </c>
      <c r="F39" s="101">
        <v>0.2</v>
      </c>
      <c r="G39" s="24" t="s">
        <v>285</v>
      </c>
      <c r="H39" s="24" t="s">
        <v>260</v>
      </c>
      <c r="I39" s="89" t="s">
        <v>263</v>
      </c>
      <c r="J39" s="16"/>
      <c r="K39" s="16"/>
      <c r="L39" s="16"/>
      <c r="M39" s="16"/>
      <c r="N39" s="16"/>
      <c r="O39" s="16"/>
      <c r="P39" s="16"/>
      <c r="Q39" s="16"/>
      <c r="R39" s="16"/>
    </row>
    <row r="40" spans="1:18" ht="24" customHeight="1" x14ac:dyDescent="0.25">
      <c r="A40" s="16"/>
      <c r="B40" s="98"/>
      <c r="C40" s="99"/>
      <c r="D40" s="100"/>
      <c r="E40" s="19" t="s">
        <v>301</v>
      </c>
      <c r="F40" s="101">
        <v>0.1</v>
      </c>
      <c r="G40" s="24" t="s">
        <v>259</v>
      </c>
      <c r="H40" s="24" t="s">
        <v>260</v>
      </c>
      <c r="I40" s="89" t="s">
        <v>294</v>
      </c>
      <c r="J40" s="16"/>
      <c r="K40" s="16"/>
      <c r="L40" s="16"/>
      <c r="M40" s="16"/>
      <c r="N40" s="16"/>
      <c r="O40" s="16"/>
      <c r="P40" s="16"/>
      <c r="Q40" s="16"/>
      <c r="R40" s="16"/>
    </row>
    <row r="41" spans="1:18" ht="24" customHeight="1" x14ac:dyDescent="0.25">
      <c r="A41" s="16"/>
      <c r="B41" s="98" t="s">
        <v>59</v>
      </c>
      <c r="C41" s="99" t="s">
        <v>121</v>
      </c>
      <c r="D41" s="100">
        <v>2</v>
      </c>
      <c r="E41" s="19" t="s">
        <v>302</v>
      </c>
      <c r="F41" s="101">
        <v>0.55000000000000004</v>
      </c>
      <c r="G41" s="24" t="s">
        <v>259</v>
      </c>
      <c r="H41" s="24" t="s">
        <v>267</v>
      </c>
      <c r="I41" s="89" t="s">
        <v>263</v>
      </c>
      <c r="J41" s="16"/>
      <c r="K41" s="16"/>
      <c r="L41" s="16"/>
      <c r="M41" s="16"/>
      <c r="N41" s="16"/>
      <c r="O41" s="16"/>
      <c r="P41" s="16"/>
      <c r="Q41" s="16"/>
      <c r="R41" s="16"/>
    </row>
    <row r="42" spans="1:18" ht="24" customHeight="1" x14ac:dyDescent="0.25">
      <c r="A42" s="16"/>
      <c r="B42" s="98"/>
      <c r="C42" s="99"/>
      <c r="D42" s="100"/>
      <c r="E42" s="19" t="s">
        <v>303</v>
      </c>
      <c r="F42" s="101">
        <v>0.3</v>
      </c>
      <c r="G42" s="24" t="s">
        <v>259</v>
      </c>
      <c r="H42" s="24" t="s">
        <v>260</v>
      </c>
      <c r="I42" s="89" t="s">
        <v>263</v>
      </c>
      <c r="J42" s="16"/>
      <c r="K42" s="16"/>
      <c r="L42" s="16"/>
      <c r="M42" s="16"/>
      <c r="N42" s="16"/>
      <c r="O42" s="16"/>
      <c r="P42" s="16"/>
      <c r="Q42" s="16"/>
      <c r="R42" s="16"/>
    </row>
    <row r="43" spans="1:18" ht="24" customHeight="1" x14ac:dyDescent="0.25">
      <c r="A43" s="16"/>
      <c r="B43" s="98"/>
      <c r="C43" s="99"/>
      <c r="D43" s="100"/>
      <c r="E43" s="19" t="s">
        <v>304</v>
      </c>
      <c r="F43" s="101">
        <v>0.15</v>
      </c>
      <c r="G43" s="24" t="s">
        <v>259</v>
      </c>
      <c r="H43" s="24" t="s">
        <v>260</v>
      </c>
      <c r="I43" s="89" t="s">
        <v>263</v>
      </c>
      <c r="J43" s="16"/>
      <c r="K43" s="16"/>
      <c r="L43" s="16"/>
      <c r="M43" s="16"/>
      <c r="N43" s="16"/>
      <c r="O43" s="16"/>
      <c r="P43" s="16"/>
      <c r="Q43" s="16"/>
      <c r="R43" s="16"/>
    </row>
    <row r="44" spans="1:18" ht="24" customHeight="1" x14ac:dyDescent="0.25">
      <c r="A44" s="16"/>
      <c r="B44" s="98" t="s">
        <v>59</v>
      </c>
      <c r="C44" s="99" t="s">
        <v>123</v>
      </c>
      <c r="D44" s="100">
        <v>1</v>
      </c>
      <c r="E44" s="19" t="s">
        <v>305</v>
      </c>
      <c r="F44" s="101">
        <v>0.4</v>
      </c>
      <c r="G44" s="24" t="s">
        <v>259</v>
      </c>
      <c r="H44" s="24" t="s">
        <v>260</v>
      </c>
      <c r="I44" s="89" t="s">
        <v>263</v>
      </c>
      <c r="J44" s="16"/>
      <c r="K44" s="16"/>
      <c r="L44" s="16"/>
      <c r="M44" s="16"/>
      <c r="N44" s="16"/>
      <c r="O44" s="16"/>
      <c r="P44" s="16"/>
      <c r="Q44" s="16"/>
      <c r="R44" s="16"/>
    </row>
    <row r="45" spans="1:18" ht="24" customHeight="1" x14ac:dyDescent="0.25">
      <c r="A45" s="16"/>
      <c r="B45" s="98"/>
      <c r="C45" s="99"/>
      <c r="D45" s="100"/>
      <c r="E45" s="19" t="s">
        <v>306</v>
      </c>
      <c r="F45" s="101">
        <v>0.3</v>
      </c>
      <c r="G45" s="24" t="s">
        <v>259</v>
      </c>
      <c r="H45" s="24" t="s">
        <v>260</v>
      </c>
      <c r="I45" s="89" t="s">
        <v>263</v>
      </c>
      <c r="J45" s="16"/>
      <c r="K45" s="16"/>
      <c r="L45" s="16"/>
      <c r="M45" s="16"/>
      <c r="N45" s="16"/>
      <c r="O45" s="16"/>
      <c r="P45" s="16"/>
      <c r="Q45" s="16"/>
      <c r="R45" s="16"/>
    </row>
    <row r="46" spans="1:18" ht="24" customHeight="1" x14ac:dyDescent="0.25">
      <c r="A46" s="16"/>
      <c r="B46" s="98"/>
      <c r="C46" s="99"/>
      <c r="D46" s="100"/>
      <c r="E46" s="19" t="s">
        <v>307</v>
      </c>
      <c r="F46" s="101">
        <v>0.2</v>
      </c>
      <c r="G46" s="24" t="s">
        <v>285</v>
      </c>
      <c r="H46" s="24" t="s">
        <v>308</v>
      </c>
      <c r="I46" s="89" t="s">
        <v>263</v>
      </c>
      <c r="J46" s="16"/>
      <c r="K46" s="16"/>
      <c r="L46" s="16"/>
      <c r="M46" s="16"/>
      <c r="N46" s="16"/>
      <c r="O46" s="16"/>
      <c r="P46" s="16"/>
      <c r="Q46" s="16"/>
      <c r="R46" s="16"/>
    </row>
    <row r="47" spans="1:18" ht="24" customHeight="1" x14ac:dyDescent="0.25">
      <c r="A47" s="16"/>
      <c r="B47" s="98"/>
      <c r="C47" s="99"/>
      <c r="D47" s="100"/>
      <c r="E47" s="19" t="s">
        <v>309</v>
      </c>
      <c r="F47" s="101">
        <v>0.1</v>
      </c>
      <c r="G47" s="24" t="s">
        <v>259</v>
      </c>
      <c r="H47" s="24" t="s">
        <v>260</v>
      </c>
      <c r="I47" s="89" t="s">
        <v>294</v>
      </c>
      <c r="J47" s="16"/>
      <c r="K47" s="16"/>
      <c r="L47" s="16"/>
      <c r="M47" s="16"/>
      <c r="N47" s="16"/>
      <c r="O47" s="16"/>
      <c r="P47" s="16"/>
      <c r="Q47" s="16"/>
      <c r="R47" s="16"/>
    </row>
    <row r="48" spans="1:18" ht="24" customHeight="1" x14ac:dyDescent="0.25">
      <c r="A48" s="16"/>
      <c r="B48" s="98" t="s">
        <v>59</v>
      </c>
      <c r="C48" s="99" t="s">
        <v>124</v>
      </c>
      <c r="D48" s="100">
        <v>3</v>
      </c>
      <c r="E48" s="19" t="s">
        <v>310</v>
      </c>
      <c r="F48" s="101">
        <v>0.35</v>
      </c>
      <c r="G48" s="24" t="s">
        <v>259</v>
      </c>
      <c r="H48" s="24" t="s">
        <v>267</v>
      </c>
      <c r="I48" s="89" t="s">
        <v>263</v>
      </c>
      <c r="J48" s="16"/>
      <c r="K48" s="16"/>
      <c r="L48" s="16"/>
      <c r="M48" s="16"/>
      <c r="N48" s="16"/>
      <c r="O48" s="16"/>
      <c r="P48" s="16"/>
      <c r="Q48" s="16"/>
      <c r="R48" s="16"/>
    </row>
    <row r="49" spans="1:18" ht="24" customHeight="1" x14ac:dyDescent="0.25">
      <c r="A49" s="16"/>
      <c r="B49" s="98"/>
      <c r="C49" s="99"/>
      <c r="D49" s="100"/>
      <c r="E49" s="19" t="s">
        <v>311</v>
      </c>
      <c r="F49" s="101">
        <v>0.3</v>
      </c>
      <c r="G49" s="24" t="s">
        <v>259</v>
      </c>
      <c r="H49" s="24" t="s">
        <v>260</v>
      </c>
      <c r="I49" s="89" t="s">
        <v>263</v>
      </c>
      <c r="J49" s="16"/>
      <c r="K49" s="16"/>
      <c r="L49" s="16"/>
      <c r="M49" s="16"/>
      <c r="N49" s="16"/>
      <c r="O49" s="16"/>
      <c r="P49" s="16"/>
      <c r="Q49" s="16"/>
      <c r="R49" s="16"/>
    </row>
    <row r="50" spans="1:18" ht="24" customHeight="1" x14ac:dyDescent="0.25">
      <c r="A50" s="16"/>
      <c r="B50" s="98"/>
      <c r="C50" s="99"/>
      <c r="D50" s="100"/>
      <c r="E50" s="19" t="s">
        <v>312</v>
      </c>
      <c r="F50" s="101">
        <v>0.2</v>
      </c>
      <c r="G50" s="24" t="s">
        <v>259</v>
      </c>
      <c r="H50" s="24" t="s">
        <v>260</v>
      </c>
      <c r="I50" s="89" t="s">
        <v>263</v>
      </c>
      <c r="J50" s="16"/>
      <c r="K50" s="16"/>
      <c r="L50" s="16"/>
      <c r="M50" s="16"/>
      <c r="N50" s="16"/>
      <c r="O50" s="16"/>
      <c r="P50" s="16"/>
      <c r="Q50" s="16"/>
      <c r="R50" s="16"/>
    </row>
    <row r="51" spans="1:18" ht="24" customHeight="1" x14ac:dyDescent="0.25">
      <c r="A51" s="16"/>
      <c r="B51" s="98"/>
      <c r="C51" s="99"/>
      <c r="D51" s="100"/>
      <c r="E51" s="19" t="s">
        <v>313</v>
      </c>
      <c r="F51" s="101">
        <v>0.15</v>
      </c>
      <c r="G51" s="24" t="s">
        <v>259</v>
      </c>
      <c r="H51" s="24" t="s">
        <v>260</v>
      </c>
      <c r="I51" s="89" t="s">
        <v>263</v>
      </c>
      <c r="J51" s="16"/>
      <c r="K51" s="16"/>
      <c r="L51" s="16"/>
      <c r="M51" s="16"/>
      <c r="N51" s="16"/>
      <c r="O51" s="16"/>
      <c r="P51" s="16"/>
      <c r="Q51" s="16"/>
      <c r="R51" s="16"/>
    </row>
    <row r="52" spans="1:18" ht="24" customHeight="1" x14ac:dyDescent="0.25">
      <c r="A52" s="16"/>
      <c r="B52" s="98" t="s">
        <v>59</v>
      </c>
      <c r="C52" s="99" t="s">
        <v>125</v>
      </c>
      <c r="D52" s="100">
        <v>3</v>
      </c>
      <c r="E52" s="19" t="s">
        <v>314</v>
      </c>
      <c r="F52" s="101">
        <v>0.55000000000000004</v>
      </c>
      <c r="G52" s="24" t="s">
        <v>259</v>
      </c>
      <c r="H52" s="24" t="s">
        <v>267</v>
      </c>
      <c r="I52" s="89" t="s">
        <v>263</v>
      </c>
      <c r="J52" s="16"/>
      <c r="K52" s="16"/>
      <c r="L52" s="16"/>
      <c r="M52" s="16"/>
      <c r="N52" s="16"/>
      <c r="O52" s="16"/>
      <c r="P52" s="16"/>
      <c r="Q52" s="16"/>
      <c r="R52" s="16"/>
    </row>
    <row r="53" spans="1:18" ht="24" customHeight="1" x14ac:dyDescent="0.25">
      <c r="A53" s="16"/>
      <c r="B53" s="98"/>
      <c r="C53" s="99"/>
      <c r="D53" s="100"/>
      <c r="E53" s="19" t="s">
        <v>315</v>
      </c>
      <c r="F53" s="101">
        <v>0.3</v>
      </c>
      <c r="G53" s="24" t="s">
        <v>259</v>
      </c>
      <c r="H53" s="24" t="s">
        <v>260</v>
      </c>
      <c r="I53" s="89" t="s">
        <v>263</v>
      </c>
      <c r="J53" s="16"/>
      <c r="K53" s="16"/>
      <c r="L53" s="16"/>
      <c r="M53" s="16"/>
      <c r="N53" s="16"/>
      <c r="O53" s="16"/>
      <c r="P53" s="16"/>
      <c r="Q53" s="16"/>
      <c r="R53" s="16"/>
    </row>
    <row r="54" spans="1:18" ht="24" customHeight="1" x14ac:dyDescent="0.25">
      <c r="A54" s="16"/>
      <c r="B54" s="98"/>
      <c r="C54" s="99"/>
      <c r="D54" s="100"/>
      <c r="E54" s="19" t="s">
        <v>316</v>
      </c>
      <c r="F54" s="101">
        <v>0.15</v>
      </c>
      <c r="G54" s="24" t="s">
        <v>259</v>
      </c>
      <c r="H54" s="24" t="s">
        <v>260</v>
      </c>
      <c r="I54" s="89" t="s">
        <v>263</v>
      </c>
      <c r="J54" s="16"/>
      <c r="K54" s="16"/>
      <c r="L54" s="16"/>
      <c r="M54" s="16"/>
      <c r="N54" s="16"/>
      <c r="O54" s="16"/>
      <c r="P54" s="16"/>
      <c r="Q54" s="16"/>
      <c r="R54" s="16"/>
    </row>
    <row r="55" spans="1:18" ht="24" customHeight="1" x14ac:dyDescent="0.25">
      <c r="A55" s="16"/>
      <c r="B55" s="98" t="s">
        <v>59</v>
      </c>
      <c r="C55" s="99" t="s">
        <v>127</v>
      </c>
      <c r="D55" s="100">
        <v>1</v>
      </c>
      <c r="E55" s="19" t="s">
        <v>317</v>
      </c>
      <c r="F55" s="101">
        <v>0.4</v>
      </c>
      <c r="G55" s="24" t="s">
        <v>259</v>
      </c>
      <c r="H55" s="24" t="s">
        <v>260</v>
      </c>
      <c r="I55" s="89" t="s">
        <v>294</v>
      </c>
      <c r="J55" s="16"/>
      <c r="K55" s="16"/>
      <c r="L55" s="16"/>
      <c r="M55" s="16"/>
      <c r="N55" s="16"/>
      <c r="O55" s="16"/>
      <c r="P55" s="16"/>
      <c r="Q55" s="16"/>
      <c r="R55" s="16"/>
    </row>
    <row r="56" spans="1:18" ht="24" customHeight="1" x14ac:dyDescent="0.25">
      <c r="A56" s="16"/>
      <c r="B56" s="98"/>
      <c r="C56" s="99"/>
      <c r="D56" s="100"/>
      <c r="E56" s="19" t="s">
        <v>318</v>
      </c>
      <c r="F56" s="101">
        <v>0.25</v>
      </c>
      <c r="G56" s="24" t="s">
        <v>259</v>
      </c>
      <c r="H56" s="24" t="s">
        <v>260</v>
      </c>
      <c r="I56" s="89" t="s">
        <v>294</v>
      </c>
      <c r="J56" s="16"/>
      <c r="K56" s="16"/>
      <c r="L56" s="16"/>
      <c r="M56" s="16"/>
      <c r="N56" s="16"/>
      <c r="O56" s="16"/>
      <c r="P56" s="16"/>
      <c r="Q56" s="16"/>
      <c r="R56" s="16"/>
    </row>
    <row r="57" spans="1:18" ht="24" customHeight="1" x14ac:dyDescent="0.25">
      <c r="A57" s="16"/>
      <c r="B57" s="98"/>
      <c r="C57" s="99"/>
      <c r="D57" s="100"/>
      <c r="E57" s="19" t="s">
        <v>319</v>
      </c>
      <c r="F57" s="101">
        <v>0.25</v>
      </c>
      <c r="G57" s="24" t="s">
        <v>259</v>
      </c>
      <c r="H57" s="24" t="s">
        <v>260</v>
      </c>
      <c r="I57" s="89" t="s">
        <v>294</v>
      </c>
      <c r="J57" s="16"/>
      <c r="K57" s="16"/>
      <c r="L57" s="16"/>
      <c r="M57" s="16"/>
      <c r="N57" s="16"/>
      <c r="O57" s="16"/>
      <c r="P57" s="16"/>
      <c r="Q57" s="16"/>
      <c r="R57" s="16"/>
    </row>
    <row r="58" spans="1:18" ht="24" customHeight="1" x14ac:dyDescent="0.25">
      <c r="A58" s="16"/>
      <c r="B58" s="98"/>
      <c r="C58" s="99"/>
      <c r="D58" s="100"/>
      <c r="E58" s="19" t="s">
        <v>320</v>
      </c>
      <c r="F58" s="101">
        <v>0.1</v>
      </c>
      <c r="G58" s="24" t="s">
        <v>259</v>
      </c>
      <c r="H58" s="24" t="s">
        <v>260</v>
      </c>
      <c r="I58" s="89" t="s">
        <v>294</v>
      </c>
      <c r="J58" s="16"/>
      <c r="K58" s="16"/>
      <c r="L58" s="16"/>
      <c r="M58" s="16"/>
      <c r="N58" s="16"/>
      <c r="O58" s="16"/>
      <c r="P58" s="16"/>
      <c r="Q58" s="16"/>
      <c r="R58" s="16"/>
    </row>
    <row r="59" spans="1:18" ht="24" customHeight="1" x14ac:dyDescent="0.25">
      <c r="A59" s="16"/>
      <c r="B59" s="98" t="s">
        <v>59</v>
      </c>
      <c r="C59" s="99" t="s">
        <v>128</v>
      </c>
      <c r="D59" s="100">
        <v>2</v>
      </c>
      <c r="E59" s="19" t="s">
        <v>321</v>
      </c>
      <c r="F59" s="101">
        <v>0.35</v>
      </c>
      <c r="G59" s="24" t="s">
        <v>259</v>
      </c>
      <c r="H59" s="24" t="s">
        <v>322</v>
      </c>
      <c r="I59" s="89" t="s">
        <v>294</v>
      </c>
      <c r="J59" s="16"/>
      <c r="K59" s="16"/>
      <c r="L59" s="16"/>
      <c r="M59" s="16"/>
      <c r="N59" s="16"/>
      <c r="O59" s="16"/>
      <c r="P59" s="16"/>
      <c r="Q59" s="16"/>
      <c r="R59" s="16"/>
    </row>
    <row r="60" spans="1:18" ht="24" customHeight="1" x14ac:dyDescent="0.25">
      <c r="A60" s="16"/>
      <c r="B60" s="98"/>
      <c r="C60" s="99"/>
      <c r="D60" s="100"/>
      <c r="E60" s="19" t="s">
        <v>323</v>
      </c>
      <c r="F60" s="101">
        <v>0.3</v>
      </c>
      <c r="G60" s="24" t="s">
        <v>259</v>
      </c>
      <c r="H60" s="24" t="s">
        <v>260</v>
      </c>
      <c r="I60" s="89" t="s">
        <v>294</v>
      </c>
      <c r="J60" s="16"/>
      <c r="K60" s="16"/>
      <c r="L60" s="16"/>
      <c r="M60" s="16"/>
      <c r="N60" s="16"/>
      <c r="O60" s="16"/>
      <c r="P60" s="16"/>
      <c r="Q60" s="16"/>
      <c r="R60" s="16"/>
    </row>
    <row r="61" spans="1:18" ht="24" customHeight="1" x14ac:dyDescent="0.25">
      <c r="A61" s="16"/>
      <c r="B61" s="98"/>
      <c r="C61" s="99"/>
      <c r="D61" s="100"/>
      <c r="E61" s="19" t="s">
        <v>324</v>
      </c>
      <c r="F61" s="101">
        <v>0.2</v>
      </c>
      <c r="G61" s="24" t="s">
        <v>259</v>
      </c>
      <c r="H61" s="24" t="s">
        <v>260</v>
      </c>
      <c r="I61" s="89" t="s">
        <v>294</v>
      </c>
      <c r="J61" s="16"/>
      <c r="K61" s="16"/>
      <c r="L61" s="16"/>
      <c r="M61" s="16"/>
      <c r="N61" s="16"/>
      <c r="O61" s="16"/>
      <c r="P61" s="16"/>
      <c r="Q61" s="16"/>
      <c r="R61" s="16"/>
    </row>
    <row r="62" spans="1:18" ht="24" customHeight="1" x14ac:dyDescent="0.25">
      <c r="A62" s="16"/>
      <c r="B62" s="98"/>
      <c r="C62" s="99"/>
      <c r="D62" s="100"/>
      <c r="E62" s="19" t="s">
        <v>325</v>
      </c>
      <c r="F62" s="101">
        <v>0.15</v>
      </c>
      <c r="G62" s="24" t="s">
        <v>259</v>
      </c>
      <c r="H62" s="24" t="s">
        <v>260</v>
      </c>
      <c r="I62" s="89" t="s">
        <v>294</v>
      </c>
      <c r="J62" s="16"/>
      <c r="K62" s="16"/>
      <c r="L62" s="16"/>
      <c r="M62" s="16"/>
      <c r="N62" s="16"/>
      <c r="O62" s="16"/>
      <c r="P62" s="16"/>
      <c r="Q62" s="16"/>
      <c r="R62" s="16"/>
    </row>
    <row r="63" spans="1:18" ht="24" customHeight="1" x14ac:dyDescent="0.25">
      <c r="A63" s="16"/>
      <c r="B63" s="98" t="s">
        <v>59</v>
      </c>
      <c r="C63" s="99" t="s">
        <v>129</v>
      </c>
      <c r="D63" s="100">
        <v>2</v>
      </c>
      <c r="E63" s="19" t="s">
        <v>326</v>
      </c>
      <c r="F63" s="101">
        <v>0.55000000000000004</v>
      </c>
      <c r="G63" s="24" t="s">
        <v>259</v>
      </c>
      <c r="H63" s="24" t="s">
        <v>322</v>
      </c>
      <c r="I63" s="89" t="s">
        <v>294</v>
      </c>
      <c r="J63" s="16"/>
      <c r="K63" s="16"/>
      <c r="L63" s="16"/>
      <c r="M63" s="16"/>
      <c r="N63" s="16"/>
      <c r="O63" s="16"/>
      <c r="P63" s="16"/>
      <c r="Q63" s="16"/>
      <c r="R63" s="16"/>
    </row>
    <row r="64" spans="1:18" ht="24" customHeight="1" x14ac:dyDescent="0.25">
      <c r="A64" s="16"/>
      <c r="B64" s="98"/>
      <c r="C64" s="99"/>
      <c r="D64" s="100"/>
      <c r="E64" s="19" t="s">
        <v>327</v>
      </c>
      <c r="F64" s="101">
        <v>0.3</v>
      </c>
      <c r="G64" s="24" t="s">
        <v>259</v>
      </c>
      <c r="H64" s="24" t="s">
        <v>260</v>
      </c>
      <c r="I64" s="89" t="s">
        <v>294</v>
      </c>
      <c r="J64" s="16"/>
      <c r="K64" s="16"/>
      <c r="L64" s="16"/>
      <c r="M64" s="16"/>
      <c r="N64" s="16"/>
      <c r="O64" s="16"/>
      <c r="P64" s="16"/>
      <c r="Q64" s="16"/>
      <c r="R64" s="16"/>
    </row>
    <row r="65" spans="1:18" ht="24" customHeight="1" x14ac:dyDescent="0.25">
      <c r="A65" s="16"/>
      <c r="B65" s="98"/>
      <c r="C65" s="99"/>
      <c r="D65" s="100"/>
      <c r="E65" s="19" t="s">
        <v>328</v>
      </c>
      <c r="F65" s="101">
        <v>0.15</v>
      </c>
      <c r="G65" s="24" t="s">
        <v>259</v>
      </c>
      <c r="H65" s="24" t="s">
        <v>260</v>
      </c>
      <c r="I65" s="89" t="s">
        <v>294</v>
      </c>
      <c r="J65" s="16"/>
      <c r="K65" s="16"/>
      <c r="L65" s="16"/>
      <c r="M65" s="16"/>
      <c r="N65" s="16"/>
      <c r="O65" s="16"/>
      <c r="P65" s="16"/>
      <c r="Q65" s="16"/>
      <c r="R65" s="16"/>
    </row>
    <row r="66" spans="1:18" ht="24" customHeight="1" x14ac:dyDescent="0.25">
      <c r="A66" s="16"/>
      <c r="B66" s="98" t="s">
        <v>59</v>
      </c>
      <c r="C66" s="99" t="s">
        <v>130</v>
      </c>
      <c r="D66" s="100">
        <v>1</v>
      </c>
      <c r="E66" s="19" t="s">
        <v>329</v>
      </c>
      <c r="F66" s="101">
        <v>0.35</v>
      </c>
      <c r="G66" s="24" t="s">
        <v>259</v>
      </c>
      <c r="H66" s="24" t="s">
        <v>267</v>
      </c>
      <c r="I66" s="89" t="s">
        <v>294</v>
      </c>
      <c r="J66" s="16"/>
      <c r="K66" s="16"/>
      <c r="L66" s="16"/>
      <c r="M66" s="16"/>
      <c r="N66" s="16"/>
      <c r="O66" s="16"/>
      <c r="P66" s="16"/>
      <c r="Q66" s="16"/>
      <c r="R66" s="16"/>
    </row>
    <row r="67" spans="1:18" ht="24" customHeight="1" x14ac:dyDescent="0.25">
      <c r="A67" s="16"/>
      <c r="B67" s="98"/>
      <c r="C67" s="99"/>
      <c r="D67" s="100"/>
      <c r="E67" s="19" t="s">
        <v>330</v>
      </c>
      <c r="F67" s="101">
        <v>0.3</v>
      </c>
      <c r="G67" s="24" t="s">
        <v>259</v>
      </c>
      <c r="H67" s="24" t="s">
        <v>260</v>
      </c>
      <c r="I67" s="89" t="s">
        <v>294</v>
      </c>
      <c r="J67" s="16"/>
      <c r="K67" s="16"/>
      <c r="L67" s="16"/>
      <c r="M67" s="16"/>
      <c r="N67" s="16"/>
      <c r="O67" s="16"/>
      <c r="P67" s="16"/>
      <c r="Q67" s="16"/>
      <c r="R67" s="16"/>
    </row>
    <row r="68" spans="1:18" ht="24" customHeight="1" x14ac:dyDescent="0.25">
      <c r="A68" s="16"/>
      <c r="B68" s="98"/>
      <c r="C68" s="99"/>
      <c r="D68" s="100"/>
      <c r="E68" s="19" t="s">
        <v>331</v>
      </c>
      <c r="F68" s="101">
        <v>0.2</v>
      </c>
      <c r="G68" s="24" t="s">
        <v>285</v>
      </c>
      <c r="H68" s="24" t="s">
        <v>332</v>
      </c>
      <c r="I68" s="89" t="s">
        <v>333</v>
      </c>
      <c r="J68" s="16"/>
      <c r="K68" s="16"/>
      <c r="L68" s="16"/>
      <c r="M68" s="16"/>
      <c r="N68" s="16"/>
      <c r="O68" s="16"/>
      <c r="P68" s="16"/>
      <c r="Q68" s="16"/>
      <c r="R68" s="16"/>
    </row>
    <row r="69" spans="1:18" ht="24" customHeight="1" x14ac:dyDescent="0.25">
      <c r="A69" s="16"/>
      <c r="B69" s="98"/>
      <c r="C69" s="99"/>
      <c r="D69" s="100"/>
      <c r="E69" s="19" t="s">
        <v>334</v>
      </c>
      <c r="F69" s="101">
        <v>0.15</v>
      </c>
      <c r="G69" s="24" t="s">
        <v>259</v>
      </c>
      <c r="H69" s="24" t="s">
        <v>260</v>
      </c>
      <c r="I69" s="89" t="s">
        <v>294</v>
      </c>
      <c r="J69" s="16"/>
      <c r="K69" s="16"/>
      <c r="L69" s="16"/>
      <c r="M69" s="16"/>
      <c r="N69" s="16"/>
      <c r="O69" s="16"/>
      <c r="P69" s="16"/>
      <c r="Q69" s="16"/>
      <c r="R69" s="16"/>
    </row>
    <row r="70" spans="1:18" ht="24" customHeight="1" x14ac:dyDescent="0.25">
      <c r="A70" s="16"/>
      <c r="B70" s="98" t="s">
        <v>59</v>
      </c>
      <c r="C70" s="99" t="s">
        <v>131</v>
      </c>
      <c r="D70" s="100">
        <v>1</v>
      </c>
      <c r="E70" s="19" t="s">
        <v>335</v>
      </c>
      <c r="F70" s="101">
        <v>0.55000000000000004</v>
      </c>
      <c r="G70" s="24" t="s">
        <v>259</v>
      </c>
      <c r="H70" s="24" t="s">
        <v>267</v>
      </c>
      <c r="I70" s="89" t="s">
        <v>294</v>
      </c>
      <c r="J70" s="16"/>
      <c r="K70" s="16"/>
      <c r="L70" s="16"/>
      <c r="M70" s="16"/>
      <c r="N70" s="16"/>
      <c r="O70" s="16"/>
      <c r="P70" s="16"/>
      <c r="Q70" s="16"/>
      <c r="R70" s="16"/>
    </row>
    <row r="71" spans="1:18" ht="24" customHeight="1" x14ac:dyDescent="0.25">
      <c r="A71" s="16"/>
      <c r="B71" s="98"/>
      <c r="C71" s="99"/>
      <c r="D71" s="100"/>
      <c r="E71" s="19" t="s">
        <v>336</v>
      </c>
      <c r="F71" s="101">
        <v>0.3</v>
      </c>
      <c r="G71" s="24" t="s">
        <v>285</v>
      </c>
      <c r="H71" s="24" t="s">
        <v>332</v>
      </c>
      <c r="I71" s="89" t="s">
        <v>333</v>
      </c>
      <c r="J71" s="16"/>
      <c r="K71" s="16"/>
      <c r="L71" s="16"/>
      <c r="M71" s="16"/>
      <c r="N71" s="16"/>
      <c r="O71" s="16"/>
      <c r="P71" s="16"/>
      <c r="Q71" s="16"/>
      <c r="R71" s="16"/>
    </row>
    <row r="72" spans="1:18" ht="24" customHeight="1" x14ac:dyDescent="0.25">
      <c r="A72" s="16"/>
      <c r="B72" s="98"/>
      <c r="C72" s="99"/>
      <c r="D72" s="100"/>
      <c r="E72" s="19" t="s">
        <v>337</v>
      </c>
      <c r="F72" s="101">
        <v>0.15</v>
      </c>
      <c r="G72" s="24" t="s">
        <v>259</v>
      </c>
      <c r="H72" s="24" t="s">
        <v>260</v>
      </c>
      <c r="I72" s="89" t="s">
        <v>294</v>
      </c>
      <c r="J72" s="16"/>
      <c r="K72" s="16"/>
      <c r="L72" s="16"/>
      <c r="M72" s="16"/>
      <c r="N72" s="16"/>
      <c r="O72" s="16"/>
      <c r="P72" s="16"/>
      <c r="Q72" s="16"/>
      <c r="R72" s="16"/>
    </row>
    <row r="73" spans="1:18" ht="24" customHeight="1" x14ac:dyDescent="0.25">
      <c r="A73" s="16"/>
      <c r="B73" s="98" t="s">
        <v>59</v>
      </c>
      <c r="C73" s="99" t="s">
        <v>133</v>
      </c>
      <c r="D73" s="100">
        <v>1</v>
      </c>
      <c r="E73" s="19" t="s">
        <v>338</v>
      </c>
      <c r="F73" s="101">
        <v>0.5</v>
      </c>
      <c r="G73" s="24" t="s">
        <v>259</v>
      </c>
      <c r="H73" s="24" t="s">
        <v>267</v>
      </c>
      <c r="I73" s="89" t="s">
        <v>263</v>
      </c>
      <c r="J73" s="16"/>
      <c r="K73" s="16"/>
      <c r="L73" s="16"/>
      <c r="M73" s="16"/>
      <c r="N73" s="16"/>
      <c r="O73" s="16"/>
      <c r="P73" s="16"/>
      <c r="Q73" s="16"/>
      <c r="R73" s="16"/>
    </row>
    <row r="74" spans="1:18" ht="24" customHeight="1" x14ac:dyDescent="0.25">
      <c r="A74" s="16"/>
      <c r="B74" s="98"/>
      <c r="C74" s="99"/>
      <c r="D74" s="100"/>
      <c r="E74" s="19" t="s">
        <v>339</v>
      </c>
      <c r="F74" s="101">
        <v>0.3</v>
      </c>
      <c r="G74" s="24" t="s">
        <v>259</v>
      </c>
      <c r="H74" s="24" t="s">
        <v>260</v>
      </c>
      <c r="I74" s="89" t="s">
        <v>263</v>
      </c>
      <c r="J74" s="16"/>
      <c r="K74" s="16"/>
      <c r="L74" s="16"/>
      <c r="M74" s="16"/>
      <c r="N74" s="16"/>
      <c r="O74" s="16"/>
      <c r="P74" s="16"/>
      <c r="Q74" s="16"/>
      <c r="R74" s="16"/>
    </row>
    <row r="75" spans="1:18" ht="24" customHeight="1" x14ac:dyDescent="0.25">
      <c r="A75" s="16"/>
      <c r="B75" s="98"/>
      <c r="C75" s="99"/>
      <c r="D75" s="100"/>
      <c r="E75" s="19" t="s">
        <v>340</v>
      </c>
      <c r="F75" s="101">
        <v>0.2</v>
      </c>
      <c r="G75" s="24" t="s">
        <v>285</v>
      </c>
      <c r="H75" s="24" t="s">
        <v>260</v>
      </c>
      <c r="I75" s="89" t="s">
        <v>263</v>
      </c>
      <c r="J75" s="16"/>
      <c r="K75" s="16"/>
      <c r="L75" s="16"/>
      <c r="M75" s="16"/>
      <c r="N75" s="16"/>
      <c r="O75" s="16"/>
      <c r="P75" s="16"/>
      <c r="Q75" s="16"/>
      <c r="R75" s="16"/>
    </row>
    <row r="76" spans="1:18" ht="24" customHeight="1" x14ac:dyDescent="0.25">
      <c r="A76" s="16"/>
      <c r="B76" s="98" t="s">
        <v>59</v>
      </c>
      <c r="C76" s="99" t="s">
        <v>134</v>
      </c>
      <c r="D76" s="100">
        <v>1</v>
      </c>
      <c r="E76" s="19" t="s">
        <v>341</v>
      </c>
      <c r="F76" s="101">
        <v>0.45</v>
      </c>
      <c r="G76" s="24" t="s">
        <v>259</v>
      </c>
      <c r="H76" s="24" t="s">
        <v>260</v>
      </c>
      <c r="I76" s="89" t="s">
        <v>294</v>
      </c>
      <c r="J76" s="16"/>
      <c r="K76" s="16"/>
      <c r="L76" s="16"/>
      <c r="M76" s="16"/>
      <c r="N76" s="16"/>
      <c r="O76" s="16"/>
      <c r="P76" s="16"/>
      <c r="Q76" s="16"/>
      <c r="R76" s="16"/>
    </row>
    <row r="77" spans="1:18" ht="24" customHeight="1" x14ac:dyDescent="0.25">
      <c r="A77" s="16"/>
      <c r="B77" s="98"/>
      <c r="C77" s="99"/>
      <c r="D77" s="100"/>
      <c r="E77" s="19" t="s">
        <v>342</v>
      </c>
      <c r="F77" s="101">
        <v>0.3</v>
      </c>
      <c r="G77" s="24" t="s">
        <v>285</v>
      </c>
      <c r="H77" s="24" t="s">
        <v>308</v>
      </c>
      <c r="I77" s="89" t="s">
        <v>294</v>
      </c>
      <c r="J77" s="16"/>
      <c r="K77" s="16"/>
      <c r="L77" s="16"/>
      <c r="M77" s="16"/>
      <c r="N77" s="16"/>
      <c r="O77" s="16"/>
      <c r="P77" s="16"/>
      <c r="Q77" s="16"/>
      <c r="R77" s="16"/>
    </row>
    <row r="78" spans="1:18" ht="24" customHeight="1" x14ac:dyDescent="0.25">
      <c r="A78" s="16"/>
      <c r="B78" s="98"/>
      <c r="C78" s="99"/>
      <c r="D78" s="100"/>
      <c r="E78" s="19" t="s">
        <v>343</v>
      </c>
      <c r="F78" s="101">
        <v>0.25</v>
      </c>
      <c r="G78" s="24" t="s">
        <v>285</v>
      </c>
      <c r="H78" s="24" t="s">
        <v>260</v>
      </c>
      <c r="I78" s="89" t="s">
        <v>294</v>
      </c>
      <c r="J78" s="16"/>
      <c r="K78" s="16"/>
      <c r="L78" s="16"/>
      <c r="M78" s="16"/>
      <c r="N78" s="16"/>
      <c r="O78" s="16"/>
      <c r="P78" s="16"/>
      <c r="Q78" s="16"/>
      <c r="R78" s="16"/>
    </row>
    <row r="79" spans="1:18" ht="24" customHeight="1" x14ac:dyDescent="0.25">
      <c r="A79" s="16"/>
      <c r="B79" s="98" t="s">
        <v>59</v>
      </c>
      <c r="C79" s="99" t="s">
        <v>135</v>
      </c>
      <c r="D79" s="100">
        <v>1</v>
      </c>
      <c r="E79" s="19" t="s">
        <v>344</v>
      </c>
      <c r="F79" s="101">
        <v>0.4</v>
      </c>
      <c r="G79" s="24" t="s">
        <v>259</v>
      </c>
      <c r="H79" s="24" t="s">
        <v>260</v>
      </c>
      <c r="I79" s="89" t="s">
        <v>333</v>
      </c>
      <c r="J79" s="16"/>
      <c r="K79" s="16"/>
      <c r="L79" s="16"/>
      <c r="M79" s="16"/>
      <c r="N79" s="16"/>
      <c r="O79" s="16"/>
      <c r="P79" s="16"/>
      <c r="Q79" s="16"/>
      <c r="R79" s="16"/>
    </row>
    <row r="80" spans="1:18" ht="24" customHeight="1" x14ac:dyDescent="0.25">
      <c r="A80" s="16"/>
      <c r="B80" s="98"/>
      <c r="C80" s="99"/>
      <c r="D80" s="100"/>
      <c r="E80" s="19" t="s">
        <v>345</v>
      </c>
      <c r="F80" s="101">
        <v>0.3</v>
      </c>
      <c r="G80" s="24" t="s">
        <v>285</v>
      </c>
      <c r="H80" s="24" t="s">
        <v>346</v>
      </c>
      <c r="I80" s="89" t="s">
        <v>333</v>
      </c>
      <c r="J80" s="16"/>
      <c r="K80" s="16"/>
      <c r="L80" s="16"/>
      <c r="M80" s="16"/>
      <c r="N80" s="16"/>
      <c r="O80" s="16"/>
      <c r="P80" s="16"/>
      <c r="Q80" s="16"/>
      <c r="R80" s="16"/>
    </row>
    <row r="81" spans="1:18" ht="24" customHeight="1" x14ac:dyDescent="0.25">
      <c r="A81" s="16"/>
      <c r="B81" s="98"/>
      <c r="C81" s="99"/>
      <c r="D81" s="100"/>
      <c r="E81" s="19" t="s">
        <v>347</v>
      </c>
      <c r="F81" s="101">
        <v>0.3</v>
      </c>
      <c r="G81" s="24" t="s">
        <v>259</v>
      </c>
      <c r="H81" s="24" t="s">
        <v>260</v>
      </c>
      <c r="I81" s="89" t="s">
        <v>333</v>
      </c>
      <c r="J81" s="16"/>
      <c r="K81" s="16"/>
      <c r="L81" s="16"/>
      <c r="M81" s="16"/>
      <c r="N81" s="16"/>
      <c r="O81" s="16"/>
      <c r="P81" s="16"/>
      <c r="Q81" s="16"/>
      <c r="R81" s="16"/>
    </row>
    <row r="82" spans="1:18" ht="24" customHeight="1" x14ac:dyDescent="0.25">
      <c r="A82" s="16"/>
      <c r="B82" s="98" t="s">
        <v>59</v>
      </c>
      <c r="C82" s="99" t="s">
        <v>136</v>
      </c>
      <c r="D82" s="100">
        <v>2</v>
      </c>
      <c r="E82" s="19" t="s">
        <v>348</v>
      </c>
      <c r="F82" s="101">
        <v>0.45</v>
      </c>
      <c r="G82" s="24" t="s">
        <v>259</v>
      </c>
      <c r="H82" s="24" t="s">
        <v>267</v>
      </c>
      <c r="I82" s="89" t="s">
        <v>263</v>
      </c>
      <c r="J82" s="16"/>
      <c r="K82" s="16"/>
      <c r="L82" s="16"/>
      <c r="M82" s="16"/>
      <c r="N82" s="16"/>
      <c r="O82" s="16"/>
      <c r="P82" s="16"/>
      <c r="Q82" s="16"/>
      <c r="R82" s="16"/>
    </row>
    <row r="83" spans="1:18" ht="24" customHeight="1" x14ac:dyDescent="0.25">
      <c r="A83" s="16"/>
      <c r="B83" s="98"/>
      <c r="C83" s="99"/>
      <c r="D83" s="100"/>
      <c r="E83" s="19" t="s">
        <v>349</v>
      </c>
      <c r="F83" s="101">
        <v>0.35</v>
      </c>
      <c r="G83" s="24" t="s">
        <v>285</v>
      </c>
      <c r="H83" s="24" t="s">
        <v>350</v>
      </c>
      <c r="I83" s="89" t="s">
        <v>263</v>
      </c>
      <c r="J83" s="16"/>
      <c r="K83" s="16"/>
      <c r="L83" s="16"/>
      <c r="M83" s="16"/>
      <c r="N83" s="16"/>
      <c r="O83" s="16"/>
      <c r="P83" s="16"/>
      <c r="Q83" s="16"/>
      <c r="R83" s="16"/>
    </row>
    <row r="84" spans="1:18" ht="24" customHeight="1" x14ac:dyDescent="0.25">
      <c r="A84" s="16"/>
      <c r="B84" s="98"/>
      <c r="C84" s="99"/>
      <c r="D84" s="100"/>
      <c r="E84" s="19" t="s">
        <v>351</v>
      </c>
      <c r="F84" s="101">
        <v>0.2</v>
      </c>
      <c r="G84" s="24" t="s">
        <v>259</v>
      </c>
      <c r="H84" s="24" t="s">
        <v>260</v>
      </c>
      <c r="I84" s="89" t="s">
        <v>263</v>
      </c>
      <c r="J84" s="16"/>
      <c r="K84" s="16"/>
      <c r="L84" s="16"/>
      <c r="M84" s="16"/>
      <c r="N84" s="16"/>
      <c r="O84" s="16"/>
      <c r="P84" s="16"/>
      <c r="Q84" s="16"/>
      <c r="R84" s="16"/>
    </row>
    <row r="85" spans="1:18" ht="24" customHeight="1" x14ac:dyDescent="0.25">
      <c r="A85" s="16"/>
      <c r="B85" s="98" t="s">
        <v>60</v>
      </c>
      <c r="C85" s="99" t="s">
        <v>139</v>
      </c>
      <c r="D85" s="100">
        <v>1</v>
      </c>
      <c r="E85" s="19" t="s">
        <v>352</v>
      </c>
      <c r="F85" s="101">
        <v>0.35</v>
      </c>
      <c r="G85" s="24" t="s">
        <v>259</v>
      </c>
      <c r="H85" s="24" t="s">
        <v>260</v>
      </c>
      <c r="I85" s="89" t="s">
        <v>277</v>
      </c>
      <c r="J85" s="16"/>
      <c r="K85" s="16"/>
      <c r="L85" s="16"/>
      <c r="M85" s="16"/>
      <c r="N85" s="16"/>
      <c r="O85" s="16"/>
      <c r="P85" s="16"/>
      <c r="Q85" s="16"/>
      <c r="R85" s="16"/>
    </row>
    <row r="86" spans="1:18" ht="24" customHeight="1" x14ac:dyDescent="0.25">
      <c r="A86" s="16"/>
      <c r="B86" s="98"/>
      <c r="C86" s="99"/>
      <c r="D86" s="100"/>
      <c r="E86" s="19" t="s">
        <v>353</v>
      </c>
      <c r="F86" s="101">
        <v>0.25</v>
      </c>
      <c r="G86" s="24" t="s">
        <v>285</v>
      </c>
      <c r="H86" s="24" t="s">
        <v>308</v>
      </c>
      <c r="I86" s="89" t="s">
        <v>263</v>
      </c>
      <c r="J86" s="16"/>
      <c r="K86" s="16"/>
      <c r="L86" s="16"/>
      <c r="M86" s="16"/>
      <c r="N86" s="16"/>
      <c r="O86" s="16"/>
      <c r="P86" s="16"/>
      <c r="Q86" s="16"/>
      <c r="R86" s="16"/>
    </row>
    <row r="87" spans="1:18" ht="24" customHeight="1" x14ac:dyDescent="0.25">
      <c r="A87" s="16"/>
      <c r="B87" s="98"/>
      <c r="C87" s="99"/>
      <c r="D87" s="100"/>
      <c r="E87" s="19" t="s">
        <v>354</v>
      </c>
      <c r="F87" s="101">
        <v>0.25</v>
      </c>
      <c r="G87" s="24" t="s">
        <v>259</v>
      </c>
      <c r="H87" s="24" t="s">
        <v>260</v>
      </c>
      <c r="I87" s="89" t="s">
        <v>261</v>
      </c>
      <c r="J87" s="16"/>
      <c r="K87" s="16"/>
      <c r="L87" s="16"/>
      <c r="M87" s="16"/>
      <c r="N87" s="16"/>
      <c r="O87" s="16"/>
      <c r="P87" s="16"/>
      <c r="Q87" s="16"/>
      <c r="R87" s="16"/>
    </row>
    <row r="88" spans="1:18" ht="24" customHeight="1" x14ac:dyDescent="0.25">
      <c r="A88" s="16"/>
      <c r="B88" s="98"/>
      <c r="C88" s="99"/>
      <c r="D88" s="100"/>
      <c r="E88" s="19" t="s">
        <v>355</v>
      </c>
      <c r="F88" s="101">
        <v>0.15</v>
      </c>
      <c r="G88" s="24" t="s">
        <v>259</v>
      </c>
      <c r="H88" s="24" t="s">
        <v>260</v>
      </c>
      <c r="I88" s="89" t="s">
        <v>294</v>
      </c>
      <c r="J88" s="16"/>
      <c r="K88" s="16"/>
      <c r="L88" s="16"/>
      <c r="M88" s="16"/>
      <c r="N88" s="16"/>
      <c r="O88" s="16"/>
      <c r="P88" s="16"/>
      <c r="Q88" s="16"/>
      <c r="R88" s="16"/>
    </row>
    <row r="89" spans="1:18" ht="24" customHeight="1" x14ac:dyDescent="0.25">
      <c r="A89" s="16"/>
      <c r="B89" s="98" t="s">
        <v>60</v>
      </c>
      <c r="C89" s="99" t="s">
        <v>140</v>
      </c>
      <c r="D89" s="100">
        <v>1</v>
      </c>
      <c r="E89" s="19" t="s">
        <v>356</v>
      </c>
      <c r="F89" s="101">
        <v>0.35</v>
      </c>
      <c r="G89" s="24" t="s">
        <v>259</v>
      </c>
      <c r="H89" s="24" t="s">
        <v>260</v>
      </c>
      <c r="I89" s="89" t="s">
        <v>277</v>
      </c>
      <c r="J89" s="16"/>
      <c r="K89" s="16"/>
      <c r="L89" s="16"/>
      <c r="M89" s="16"/>
      <c r="N89" s="16"/>
      <c r="O89" s="16"/>
      <c r="P89" s="16"/>
      <c r="Q89" s="16"/>
      <c r="R89" s="16"/>
    </row>
    <row r="90" spans="1:18" ht="24" customHeight="1" x14ac:dyDescent="0.25">
      <c r="A90" s="16"/>
      <c r="B90" s="98"/>
      <c r="C90" s="99"/>
      <c r="D90" s="100"/>
      <c r="E90" s="19" t="s">
        <v>357</v>
      </c>
      <c r="F90" s="101">
        <v>0.25</v>
      </c>
      <c r="G90" s="24" t="s">
        <v>259</v>
      </c>
      <c r="H90" s="24" t="s">
        <v>267</v>
      </c>
      <c r="I90" s="89" t="s">
        <v>277</v>
      </c>
      <c r="J90" s="16"/>
      <c r="K90" s="16"/>
      <c r="L90" s="16"/>
      <c r="M90" s="16"/>
      <c r="N90" s="16"/>
      <c r="O90" s="16"/>
      <c r="P90" s="16"/>
      <c r="Q90" s="16"/>
      <c r="R90" s="16"/>
    </row>
    <row r="91" spans="1:18" ht="24" customHeight="1" x14ac:dyDescent="0.25">
      <c r="A91" s="16"/>
      <c r="B91" s="98"/>
      <c r="C91" s="99"/>
      <c r="D91" s="100"/>
      <c r="E91" s="19" t="s">
        <v>358</v>
      </c>
      <c r="F91" s="101">
        <v>0.2</v>
      </c>
      <c r="G91" s="24" t="s">
        <v>259</v>
      </c>
      <c r="H91" s="24" t="s">
        <v>260</v>
      </c>
      <c r="I91" s="89" t="s">
        <v>277</v>
      </c>
      <c r="J91" s="16"/>
      <c r="K91" s="16"/>
      <c r="L91" s="16"/>
      <c r="M91" s="16"/>
      <c r="N91" s="16"/>
      <c r="O91" s="16"/>
      <c r="P91" s="16"/>
      <c r="Q91" s="16"/>
      <c r="R91" s="16"/>
    </row>
    <row r="92" spans="1:18" ht="24" customHeight="1" x14ac:dyDescent="0.25">
      <c r="A92" s="16"/>
      <c r="B92" s="98"/>
      <c r="C92" s="99"/>
      <c r="D92" s="100"/>
      <c r="E92" s="19" t="s">
        <v>359</v>
      </c>
      <c r="F92" s="101">
        <v>0.2</v>
      </c>
      <c r="G92" s="24" t="s">
        <v>285</v>
      </c>
      <c r="H92" s="24" t="s">
        <v>260</v>
      </c>
      <c r="I92" s="89" t="s">
        <v>277</v>
      </c>
      <c r="J92" s="16"/>
      <c r="K92" s="16"/>
      <c r="L92" s="16"/>
      <c r="M92" s="16"/>
      <c r="N92" s="16"/>
      <c r="O92" s="16"/>
      <c r="P92" s="16"/>
      <c r="Q92" s="16"/>
      <c r="R92" s="16"/>
    </row>
    <row r="93" spans="1:18" ht="24" customHeight="1" x14ac:dyDescent="0.25">
      <c r="A93" s="16"/>
      <c r="B93" s="98" t="s">
        <v>60</v>
      </c>
      <c r="C93" s="99" t="s">
        <v>142</v>
      </c>
      <c r="D93" s="100">
        <v>1</v>
      </c>
      <c r="E93" s="19" t="s">
        <v>360</v>
      </c>
      <c r="F93" s="101">
        <v>0.5</v>
      </c>
      <c r="G93" s="24" t="s">
        <v>259</v>
      </c>
      <c r="H93" s="24" t="s">
        <v>267</v>
      </c>
      <c r="I93" s="89" t="s">
        <v>261</v>
      </c>
      <c r="J93" s="16"/>
      <c r="K93" s="16"/>
      <c r="L93" s="16"/>
      <c r="M93" s="16"/>
      <c r="N93" s="16"/>
      <c r="O93" s="16"/>
      <c r="P93" s="16"/>
      <c r="Q93" s="16"/>
      <c r="R93" s="16"/>
    </row>
    <row r="94" spans="1:18" ht="24" customHeight="1" x14ac:dyDescent="0.25">
      <c r="A94" s="16"/>
      <c r="B94" s="98"/>
      <c r="C94" s="99"/>
      <c r="D94" s="100"/>
      <c r="E94" s="19" t="s">
        <v>361</v>
      </c>
      <c r="F94" s="101">
        <v>0.3</v>
      </c>
      <c r="G94" s="24" t="s">
        <v>285</v>
      </c>
      <c r="H94" s="24" t="s">
        <v>260</v>
      </c>
      <c r="I94" s="89" t="s">
        <v>261</v>
      </c>
      <c r="J94" s="16"/>
      <c r="K94" s="16"/>
      <c r="L94" s="16"/>
      <c r="M94" s="16"/>
      <c r="N94" s="16"/>
      <c r="O94" s="16"/>
      <c r="P94" s="16"/>
      <c r="Q94" s="16"/>
      <c r="R94" s="16"/>
    </row>
    <row r="95" spans="1:18" ht="24" customHeight="1" x14ac:dyDescent="0.25">
      <c r="A95" s="16"/>
      <c r="B95" s="98"/>
      <c r="C95" s="99"/>
      <c r="D95" s="100"/>
      <c r="E95" s="19" t="s">
        <v>362</v>
      </c>
      <c r="F95" s="101">
        <v>0.2</v>
      </c>
      <c r="G95" s="24" t="s">
        <v>259</v>
      </c>
      <c r="H95" s="24" t="s">
        <v>267</v>
      </c>
      <c r="I95" s="89" t="s">
        <v>261</v>
      </c>
      <c r="J95" s="16"/>
      <c r="K95" s="16"/>
      <c r="L95" s="16"/>
      <c r="M95" s="16"/>
      <c r="N95" s="16"/>
      <c r="O95" s="16"/>
      <c r="P95" s="16"/>
      <c r="Q95" s="16"/>
      <c r="R95" s="16"/>
    </row>
    <row r="96" spans="1:18" ht="24" customHeight="1" x14ac:dyDescent="0.25">
      <c r="A96" s="16"/>
      <c r="B96" s="98" t="s">
        <v>60</v>
      </c>
      <c r="C96" s="99" t="s">
        <v>143</v>
      </c>
      <c r="D96" s="100">
        <v>6</v>
      </c>
      <c r="E96" s="19" t="s">
        <v>363</v>
      </c>
      <c r="F96" s="101">
        <v>0.4</v>
      </c>
      <c r="G96" s="24" t="s">
        <v>259</v>
      </c>
      <c r="H96" s="24" t="s">
        <v>267</v>
      </c>
      <c r="I96" s="89" t="s">
        <v>277</v>
      </c>
      <c r="J96" s="16"/>
      <c r="K96" s="16"/>
      <c r="L96" s="16"/>
      <c r="M96" s="16"/>
      <c r="N96" s="16"/>
      <c r="O96" s="16"/>
      <c r="P96" s="16"/>
      <c r="Q96" s="16"/>
      <c r="R96" s="16"/>
    </row>
    <row r="97" spans="1:18" ht="24" customHeight="1" x14ac:dyDescent="0.25">
      <c r="A97" s="16"/>
      <c r="B97" s="98"/>
      <c r="C97" s="99"/>
      <c r="D97" s="100"/>
      <c r="E97" s="19" t="s">
        <v>364</v>
      </c>
      <c r="F97" s="101">
        <v>0.3</v>
      </c>
      <c r="G97" s="24" t="s">
        <v>259</v>
      </c>
      <c r="H97" s="24" t="s">
        <v>260</v>
      </c>
      <c r="I97" s="89" t="s">
        <v>277</v>
      </c>
      <c r="J97" s="16"/>
      <c r="K97" s="16"/>
      <c r="L97" s="16"/>
      <c r="M97" s="16"/>
      <c r="N97" s="16"/>
      <c r="O97" s="16"/>
      <c r="P97" s="16"/>
      <c r="Q97" s="16"/>
      <c r="R97" s="16"/>
    </row>
    <row r="98" spans="1:18" ht="24" customHeight="1" x14ac:dyDescent="0.25">
      <c r="A98" s="16"/>
      <c r="B98" s="98"/>
      <c r="C98" s="99"/>
      <c r="D98" s="100"/>
      <c r="E98" s="19" t="s">
        <v>365</v>
      </c>
      <c r="F98" s="101">
        <v>0.3</v>
      </c>
      <c r="G98" s="24" t="s">
        <v>285</v>
      </c>
      <c r="H98" s="24" t="s">
        <v>260</v>
      </c>
      <c r="I98" s="89" t="s">
        <v>277</v>
      </c>
      <c r="J98" s="16"/>
      <c r="K98" s="16"/>
      <c r="L98" s="16"/>
      <c r="M98" s="16"/>
      <c r="N98" s="16"/>
      <c r="O98" s="16"/>
      <c r="P98" s="16"/>
      <c r="Q98" s="16"/>
      <c r="R98" s="16"/>
    </row>
    <row r="99" spans="1:18" ht="24" customHeight="1" x14ac:dyDescent="0.25">
      <c r="A99" s="16"/>
      <c r="B99" s="98" t="s">
        <v>61</v>
      </c>
      <c r="C99" s="99" t="s">
        <v>146</v>
      </c>
      <c r="D99" s="100">
        <v>1</v>
      </c>
      <c r="E99" s="19" t="s">
        <v>366</v>
      </c>
      <c r="F99" s="101">
        <v>0.35</v>
      </c>
      <c r="G99" s="24" t="s">
        <v>259</v>
      </c>
      <c r="H99" s="24" t="s">
        <v>260</v>
      </c>
      <c r="I99" s="89" t="s">
        <v>261</v>
      </c>
      <c r="J99" s="16"/>
      <c r="K99" s="16"/>
      <c r="L99" s="16"/>
      <c r="M99" s="16"/>
      <c r="N99" s="16"/>
      <c r="O99" s="16"/>
      <c r="P99" s="16"/>
      <c r="Q99" s="16"/>
      <c r="R99" s="16"/>
    </row>
    <row r="100" spans="1:18" ht="24" customHeight="1" x14ac:dyDescent="0.25">
      <c r="A100" s="16"/>
      <c r="B100" s="98"/>
      <c r="C100" s="99"/>
      <c r="D100" s="100"/>
      <c r="E100" s="19" t="s">
        <v>367</v>
      </c>
      <c r="F100" s="101">
        <v>0.25</v>
      </c>
      <c r="G100" s="24" t="s">
        <v>259</v>
      </c>
      <c r="H100" s="24" t="s">
        <v>260</v>
      </c>
      <c r="I100" s="89" t="s">
        <v>261</v>
      </c>
      <c r="J100" s="16"/>
      <c r="K100" s="16"/>
      <c r="L100" s="16"/>
      <c r="M100" s="16"/>
      <c r="N100" s="16"/>
      <c r="O100" s="16"/>
      <c r="P100" s="16"/>
      <c r="Q100" s="16"/>
      <c r="R100" s="16"/>
    </row>
    <row r="101" spans="1:18" ht="24" customHeight="1" x14ac:dyDescent="0.25">
      <c r="A101" s="16"/>
      <c r="B101" s="98"/>
      <c r="C101" s="99"/>
      <c r="D101" s="100"/>
      <c r="E101" s="19" t="s">
        <v>368</v>
      </c>
      <c r="F101" s="101">
        <v>0.2</v>
      </c>
      <c r="G101" s="24" t="s">
        <v>285</v>
      </c>
      <c r="H101" s="24" t="s">
        <v>308</v>
      </c>
      <c r="I101" s="89" t="s">
        <v>294</v>
      </c>
      <c r="J101" s="16"/>
      <c r="K101" s="16"/>
      <c r="L101" s="16"/>
      <c r="M101" s="16"/>
      <c r="N101" s="16"/>
      <c r="O101" s="16"/>
      <c r="P101" s="16"/>
      <c r="Q101" s="16"/>
      <c r="R101" s="16"/>
    </row>
    <row r="102" spans="1:18" ht="24" customHeight="1" x14ac:dyDescent="0.25">
      <c r="A102" s="16"/>
      <c r="B102" s="98"/>
      <c r="C102" s="99"/>
      <c r="D102" s="100"/>
      <c r="E102" s="19" t="s">
        <v>369</v>
      </c>
      <c r="F102" s="101">
        <v>0.2</v>
      </c>
      <c r="G102" s="24" t="s">
        <v>285</v>
      </c>
      <c r="H102" s="24" t="s">
        <v>267</v>
      </c>
      <c r="I102" s="89" t="s">
        <v>294</v>
      </c>
      <c r="J102" s="16"/>
      <c r="K102" s="16"/>
      <c r="L102" s="16"/>
      <c r="M102" s="16"/>
      <c r="N102" s="16"/>
      <c r="O102" s="16"/>
      <c r="P102" s="16"/>
      <c r="Q102" s="16"/>
      <c r="R102" s="16"/>
    </row>
    <row r="103" spans="1:18" ht="24" customHeight="1" x14ac:dyDescent="0.25">
      <c r="A103" s="16"/>
      <c r="B103" s="98" t="s">
        <v>61</v>
      </c>
      <c r="C103" s="99" t="s">
        <v>147</v>
      </c>
      <c r="D103" s="100">
        <v>1</v>
      </c>
      <c r="E103" s="19" t="s">
        <v>370</v>
      </c>
      <c r="F103" s="101">
        <v>0.4</v>
      </c>
      <c r="G103" s="24" t="s">
        <v>259</v>
      </c>
      <c r="H103" s="24" t="s">
        <v>260</v>
      </c>
      <c r="I103" s="89" t="s">
        <v>261</v>
      </c>
      <c r="J103" s="16"/>
      <c r="K103" s="16"/>
      <c r="L103" s="16"/>
      <c r="M103" s="16"/>
      <c r="N103" s="16"/>
      <c r="O103" s="16"/>
      <c r="P103" s="16"/>
      <c r="Q103" s="16"/>
      <c r="R103" s="16"/>
    </row>
    <row r="104" spans="1:18" ht="24" customHeight="1" x14ac:dyDescent="0.25">
      <c r="A104" s="16"/>
      <c r="B104" s="98"/>
      <c r="C104" s="99"/>
      <c r="D104" s="100"/>
      <c r="E104" s="19" t="s">
        <v>371</v>
      </c>
      <c r="F104" s="101">
        <v>0.4</v>
      </c>
      <c r="G104" s="24" t="s">
        <v>259</v>
      </c>
      <c r="H104" s="24" t="s">
        <v>260</v>
      </c>
      <c r="I104" s="89" t="s">
        <v>261</v>
      </c>
      <c r="J104" s="16"/>
      <c r="K104" s="16"/>
      <c r="L104" s="16"/>
      <c r="M104" s="16"/>
      <c r="N104" s="16"/>
      <c r="O104" s="16"/>
      <c r="P104" s="16"/>
      <c r="Q104" s="16"/>
      <c r="R104" s="16"/>
    </row>
    <row r="105" spans="1:18" ht="24" customHeight="1" x14ac:dyDescent="0.25">
      <c r="A105" s="16"/>
      <c r="B105" s="98"/>
      <c r="C105" s="99"/>
      <c r="D105" s="100"/>
      <c r="E105" s="19" t="s">
        <v>372</v>
      </c>
      <c r="F105" s="101">
        <v>0.2</v>
      </c>
      <c r="G105" s="24" t="s">
        <v>285</v>
      </c>
      <c r="H105" s="24" t="s">
        <v>267</v>
      </c>
      <c r="I105" s="89" t="s">
        <v>261</v>
      </c>
      <c r="J105" s="16"/>
      <c r="K105" s="16"/>
      <c r="L105" s="16"/>
      <c r="M105" s="16"/>
      <c r="N105" s="16"/>
      <c r="O105" s="16"/>
      <c r="P105" s="16"/>
      <c r="Q105" s="16"/>
      <c r="R105" s="16"/>
    </row>
    <row r="106" spans="1:18" ht="24" customHeight="1" x14ac:dyDescent="0.25">
      <c r="A106" s="16"/>
      <c r="B106" s="98" t="s">
        <v>373</v>
      </c>
      <c r="C106" s="99" t="s">
        <v>153</v>
      </c>
      <c r="D106" s="100">
        <v>1</v>
      </c>
      <c r="E106" s="19" t="s">
        <v>282</v>
      </c>
      <c r="F106" s="101" t="s">
        <v>208</v>
      </c>
      <c r="G106" s="24" t="s">
        <v>208</v>
      </c>
      <c r="H106" s="24" t="s">
        <v>208</v>
      </c>
      <c r="I106" s="89" t="s">
        <v>208</v>
      </c>
      <c r="J106" s="16"/>
      <c r="K106" s="16"/>
      <c r="L106" s="16"/>
      <c r="M106" s="16"/>
      <c r="N106" s="16"/>
      <c r="O106" s="16"/>
      <c r="P106" s="16"/>
      <c r="Q106" s="16"/>
      <c r="R106" s="16"/>
    </row>
    <row r="107" spans="1:18" ht="24" customHeight="1" x14ac:dyDescent="0.25">
      <c r="A107" s="16"/>
      <c r="B107" s="98" t="s">
        <v>373</v>
      </c>
      <c r="C107" s="99" t="s">
        <v>155</v>
      </c>
      <c r="D107" s="100">
        <v>1</v>
      </c>
      <c r="E107" s="19" t="s">
        <v>282</v>
      </c>
      <c r="F107" s="101" t="s">
        <v>208</v>
      </c>
      <c r="G107" s="24" t="s">
        <v>208</v>
      </c>
      <c r="H107" s="24" t="s">
        <v>208</v>
      </c>
      <c r="I107" s="89" t="s">
        <v>208</v>
      </c>
      <c r="J107" s="16"/>
      <c r="K107" s="16"/>
      <c r="L107" s="16"/>
      <c r="M107" s="16"/>
      <c r="N107" s="16"/>
      <c r="O107" s="16"/>
      <c r="P107" s="16"/>
      <c r="Q107" s="16"/>
      <c r="R107" s="16"/>
    </row>
    <row r="108" spans="1:18" ht="6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</row>
    <row r="109" spans="1:18" ht="25.5" customHeight="1" x14ac:dyDescent="0.25">
      <c r="A109" s="16"/>
      <c r="B109" s="140" t="s">
        <v>374</v>
      </c>
      <c r="C109" s="140"/>
      <c r="D109" s="140"/>
      <c r="E109" s="140"/>
      <c r="F109" s="140"/>
      <c r="G109" s="140"/>
      <c r="H109" s="140"/>
      <c r="I109" s="140"/>
      <c r="J109" s="16"/>
      <c r="K109" s="16"/>
      <c r="L109" s="16"/>
      <c r="M109" s="16"/>
      <c r="N109" s="16"/>
      <c r="O109" s="16"/>
      <c r="P109" s="16"/>
      <c r="Q109" s="16"/>
      <c r="R109" s="16"/>
    </row>
    <row r="110" spans="1:18" ht="21.7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</row>
    <row r="111" spans="1:18" ht="21.7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</row>
    <row r="112" spans="1:18" ht="21.7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</row>
    <row r="113" spans="1:18" ht="6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</row>
    <row r="114" spans="1:18" ht="27.7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</row>
    <row r="115" spans="1:18" ht="19.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</row>
    <row r="116" spans="1:18" ht="33.7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</row>
    <row r="117" spans="1:18" ht="21.7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</row>
    <row r="118" spans="1:18" ht="21.7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</row>
    <row r="119" spans="1:18" ht="21.7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</row>
    <row r="120" spans="1:18" ht="21.7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</row>
    <row r="121" spans="1:18" ht="6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</row>
    <row r="122" spans="1:18" ht="27.7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</row>
    <row r="123" spans="1:18" ht="19.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</row>
    <row r="124" spans="1:18" ht="33.7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</row>
    <row r="125" spans="1:18" ht="21.7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</row>
    <row r="126" spans="1:18" ht="21.7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</row>
    <row r="127" spans="1:18" ht="21.7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</row>
    <row r="128" spans="1:18" ht="21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</row>
    <row r="129" spans="1:18" ht="6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</row>
    <row r="130" spans="1:18" ht="27.7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 spans="1:18" ht="19.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</row>
    <row r="132" spans="1:18" ht="33.7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</row>
    <row r="133" spans="1:18" ht="21.7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</row>
    <row r="134" spans="1:18" ht="21.7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</row>
    <row r="135" spans="1:18" ht="21.7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</row>
    <row r="136" spans="1:18" ht="21.7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</row>
    <row r="137" spans="1:18" ht="6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</row>
    <row r="138" spans="1:18" ht="27.7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</row>
    <row r="139" spans="1:18" ht="19.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</row>
    <row r="140" spans="1:18" ht="33.7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</row>
    <row r="141" spans="1:18" ht="21.7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</row>
    <row r="142" spans="1:18" ht="21.7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</row>
    <row r="143" spans="1:18" ht="21.7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</row>
    <row r="144" spans="1:18" ht="21.7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</row>
    <row r="145" spans="1:18" ht="6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</row>
    <row r="146" spans="1:18" ht="27.7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</row>
    <row r="147" spans="1:18" ht="19.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</row>
    <row r="148" spans="1:18" ht="33.7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</row>
    <row r="149" spans="1:18" ht="21.7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</row>
    <row r="150" spans="1:18" ht="21.7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</row>
    <row r="151" spans="1:18" ht="21.7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</row>
    <row r="152" spans="1:18" ht="21.7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</row>
    <row r="153" spans="1:18" ht="6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</row>
    <row r="154" spans="1:18" ht="27.7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</row>
    <row r="155" spans="1:18" ht="19.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</row>
    <row r="156" spans="1:18" ht="33.7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</row>
    <row r="157" spans="1:18" ht="21.7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</row>
    <row r="158" spans="1:18" ht="21.7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</row>
    <row r="159" spans="1:18" ht="21.7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</row>
    <row r="160" spans="1:18" ht="21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</row>
    <row r="161" spans="1:18" ht="6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</row>
    <row r="162" spans="1:18" ht="27.7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</row>
    <row r="163" spans="1:18" ht="19.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</row>
    <row r="164" spans="1:18" ht="33.7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</row>
    <row r="165" spans="1:18" ht="21.7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</row>
    <row r="166" spans="1:18" ht="21.7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</row>
    <row r="167" spans="1:18" ht="21.7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</row>
    <row r="168" spans="1:18" ht="21.7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</row>
    <row r="169" spans="1:18" ht="6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</row>
    <row r="170" spans="1:18" ht="27.7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</row>
    <row r="171" spans="1:18" ht="19.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</row>
    <row r="172" spans="1:18" ht="33.7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</row>
    <row r="173" spans="1:18" ht="21.7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</row>
    <row r="174" spans="1:18" ht="21.7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</row>
    <row r="175" spans="1:18" ht="21.7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</row>
    <row r="176" spans="1:18" ht="21.7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</row>
    <row r="177" spans="1:18" ht="6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</row>
    <row r="178" spans="1:18" ht="27.7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</row>
    <row r="179" spans="1:18" ht="19.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</row>
    <row r="180" spans="1:18" ht="33.7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</row>
    <row r="181" spans="1:18" ht="21.7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</row>
    <row r="182" spans="1:18" ht="21.7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</row>
    <row r="183" spans="1:18" ht="21.7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</row>
    <row r="184" spans="1:18" ht="21.7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</row>
    <row r="185" spans="1:18" ht="6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</row>
    <row r="186" spans="1:18" ht="27.7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</row>
    <row r="187" spans="1:18" ht="19.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</row>
    <row r="188" spans="1:18" ht="33.7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</row>
    <row r="189" spans="1:18" ht="21.7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</row>
    <row r="190" spans="1:18" ht="21.7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</row>
    <row r="191" spans="1:18" ht="21.7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</row>
    <row r="192" spans="1:18" ht="21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</row>
    <row r="193" spans="1:18" ht="6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</row>
    <row r="194" spans="1:18" ht="1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</row>
    <row r="195" spans="1:18" ht="1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</row>
    <row r="196" spans="1:18" ht="1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</row>
    <row r="197" spans="1:18" ht="1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</row>
    <row r="198" spans="1:18" ht="1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</row>
    <row r="199" spans="1:18" ht="1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</row>
    <row r="200" spans="1:18" ht="1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</row>
    <row r="201" spans="1:18" ht="1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</row>
    <row r="202" spans="1:18" ht="1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</row>
    <row r="203" spans="1:18" ht="1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</row>
    <row r="204" spans="1:18" ht="1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</row>
    <row r="205" spans="1:18" ht="1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</row>
    <row r="206" spans="1:18" ht="1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</row>
    <row r="207" spans="1:18" ht="1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</row>
    <row r="208" spans="1:18" ht="1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</row>
    <row r="209" spans="1:18" ht="1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</row>
    <row r="210" spans="1:18" ht="1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</row>
    <row r="211" spans="1:18" ht="1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</row>
    <row r="212" spans="1:18" ht="1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</row>
    <row r="213" spans="1:18" ht="1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</row>
    <row r="214" spans="1:18" ht="1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</row>
    <row r="215" spans="1:18" ht="1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</row>
    <row r="216" spans="1:18" ht="1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</row>
    <row r="217" spans="1:18" ht="1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</row>
    <row r="218" spans="1:18" ht="1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</row>
    <row r="219" spans="1:18" ht="1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</row>
    <row r="220" spans="1:18" ht="1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</row>
    <row r="221" spans="1:18" ht="1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</row>
    <row r="222" spans="1:18" ht="1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</row>
    <row r="223" spans="1:18" ht="1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</row>
    <row r="224" spans="1:18" ht="1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</row>
    <row r="225" spans="1:18" ht="1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</row>
    <row r="226" spans="1:18" ht="1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</row>
    <row r="227" spans="1:18" ht="1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</row>
    <row r="228" spans="1:18" ht="1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</row>
    <row r="229" spans="1:18" ht="1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</row>
    <row r="230" spans="1:18" ht="1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</row>
    <row r="231" spans="1:18" ht="1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</row>
    <row r="232" spans="1:18" ht="1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</row>
    <row r="233" spans="1:18" ht="1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</row>
    <row r="234" spans="1:18" ht="1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</row>
    <row r="235" spans="1:18" ht="1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</row>
    <row r="236" spans="1:18" ht="1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</row>
    <row r="237" spans="1:18" ht="1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</row>
    <row r="238" spans="1:18" ht="1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</row>
    <row r="239" spans="1:18" ht="1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</row>
    <row r="240" spans="1:18" ht="1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</row>
    <row r="241" spans="1:18" ht="1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</row>
    <row r="242" spans="1:18" ht="1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</row>
    <row r="243" spans="1:18" ht="1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</row>
    <row r="244" spans="1:18" ht="1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</row>
    <row r="245" spans="1:18" ht="1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</row>
    <row r="246" spans="1:18" ht="1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</row>
    <row r="247" spans="1:18" ht="1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</row>
    <row r="248" spans="1:18" ht="1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</row>
    <row r="249" spans="1:18" ht="1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</row>
    <row r="250" spans="1:18" ht="1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</row>
    <row r="251" spans="1:18" ht="1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</row>
    <row r="252" spans="1:18" ht="1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</row>
    <row r="253" spans="1:18" ht="1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</row>
    <row r="254" spans="1:18" ht="1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</row>
    <row r="255" spans="1:18" ht="1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</row>
    <row r="256" spans="1:18" ht="1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</row>
    <row r="257" spans="1:18" ht="1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</row>
    <row r="258" spans="1:18" ht="1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</row>
    <row r="259" spans="1:18" ht="1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</row>
    <row r="260" spans="1:18" ht="1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</row>
    <row r="261" spans="1:18" ht="1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</row>
    <row r="262" spans="1:18" ht="1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</row>
    <row r="263" spans="1:18" ht="1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</row>
    <row r="264" spans="1:18" ht="1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</row>
    <row r="265" spans="1:18" ht="1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</row>
    <row r="266" spans="1:18" ht="1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</row>
    <row r="267" spans="1:18" ht="1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</row>
    <row r="268" spans="1:18" ht="1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</row>
    <row r="269" spans="1:18" ht="1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</row>
    <row r="270" spans="1:18" ht="1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</row>
    <row r="271" spans="1:18" ht="1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</row>
    <row r="272" spans="1:18" ht="1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</row>
    <row r="273" spans="1:18" ht="1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</row>
    <row r="274" spans="1:18" ht="1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</row>
    <row r="275" spans="1:18" ht="1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</row>
    <row r="276" spans="1:18" ht="1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</row>
    <row r="277" spans="1:18" ht="1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</row>
    <row r="278" spans="1:18" ht="1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</row>
    <row r="279" spans="1:18" ht="1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</row>
    <row r="280" spans="1:18" ht="1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</row>
    <row r="281" spans="1:18" ht="1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</row>
    <row r="282" spans="1:18" ht="1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</row>
    <row r="283" spans="1:18" ht="1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</row>
    <row r="284" spans="1:18" ht="1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</row>
    <row r="285" spans="1:18" ht="1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</row>
    <row r="286" spans="1:18" ht="1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</row>
    <row r="287" spans="1:18" ht="1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</row>
    <row r="288" spans="1:18" ht="1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</row>
    <row r="289" spans="1:18" ht="1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</row>
    <row r="290" spans="1:18" ht="1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</row>
    <row r="291" spans="1:18" ht="1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</row>
    <row r="292" spans="1:18" ht="1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</row>
    <row r="293" spans="1:18" ht="1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</row>
    <row r="294" spans="1:18" ht="1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</row>
    <row r="295" spans="1:18" ht="1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</row>
    <row r="296" spans="1:18" ht="1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</row>
    <row r="297" spans="1:18" ht="1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</row>
    <row r="298" spans="1:18" ht="1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</row>
    <row r="299" spans="1:18" ht="1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</row>
    <row r="300" spans="1:18" ht="1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</row>
  </sheetData>
  <mergeCells count="4">
    <mergeCell ref="B2:I2"/>
    <mergeCell ref="B3:I3"/>
    <mergeCell ref="B5:I5"/>
    <mergeCell ref="B109:I109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Ամփոփ պատկեր</vt:lpstr>
      <vt:lpstr>Կառուցվածք և աշխատավարձ</vt:lpstr>
      <vt:lpstr>Մոդելներ և պարտադիր վճարներ</vt:lpstr>
      <vt:lpstr>KPI</vt:lpstr>
      <vt:lpstr>Պաշտոնների_Ցանկ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2026-05-15T11:37:13Z</dcterms:created>
  <dcterms:modified xsi:type="dcterms:W3CDTF">2026-09-07T12:55:55Z</dcterms:modified>
  <dc:language>en-US</dc:language>
</cp:coreProperties>
</file>